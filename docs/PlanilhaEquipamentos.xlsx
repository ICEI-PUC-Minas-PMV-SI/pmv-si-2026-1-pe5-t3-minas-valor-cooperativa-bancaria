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s\Downloads\"/>
    </mc:Choice>
  </mc:AlternateContent>
  <xr:revisionPtr revIDLastSave="1108" documentId="13_ncr:1_{4CE9D74F-1EFA-43D1-88C7-8445D628AB9C}" xr6:coauthVersionLast="47" xr6:coauthVersionMax="47" xr10:uidLastSave="{EBE2708C-56DF-4E98-AA01-29BC6BED2EF4}"/>
  <bookViews>
    <workbookView xWindow="-120" yWindow="-120" windowWidth="29040" windowHeight="15720" tabRatio="500" firstSheet="6" activeTab="6" xr2:uid="{00000000-000D-0000-FFFF-FFFF00000000}"/>
  </bookViews>
  <sheets>
    <sheet name="Matriz" sheetId="1" r:id="rId1"/>
    <sheet name="Filial 1" sheetId="2" r:id="rId2"/>
    <sheet name="Filial 2" sheetId="7" r:id="rId3"/>
    <sheet name="Filial 3" sheetId="8" r:id="rId4"/>
    <sheet name="Filial 4" sheetId="9" r:id="rId5"/>
    <sheet name="Filial 5" sheetId="10" r:id="rId6"/>
    <sheet name="Endereçamento IP" sheetId="5" r:id="rId7"/>
    <sheet name="Cálculo Links" sheetId="6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1" l="1"/>
  <c r="E22" i="1"/>
  <c r="F22" i="2"/>
  <c r="E22" i="2"/>
  <c r="F22" i="7"/>
  <c r="E22" i="7"/>
  <c r="F22" i="8"/>
  <c r="E22" i="8"/>
  <c r="F22" i="9"/>
  <c r="E22" i="9"/>
  <c r="E22" i="10"/>
  <c r="G5" i="10"/>
  <c r="G4" i="10"/>
  <c r="G18" i="10"/>
  <c r="G18" i="9"/>
  <c r="G18" i="8"/>
  <c r="G18" i="7"/>
  <c r="G13" i="10"/>
  <c r="G13" i="9"/>
  <c r="G13" i="8"/>
  <c r="G13" i="7"/>
  <c r="G3" i="10"/>
  <c r="G4" i="9"/>
  <c r="G22" i="9" s="1"/>
  <c r="G3" i="9"/>
  <c r="G4" i="8"/>
  <c r="G22" i="8" s="1"/>
  <c r="G3" i="8"/>
  <c r="G4" i="7"/>
  <c r="G22" i="7" s="1"/>
  <c r="G3" i="7"/>
  <c r="G18" i="2"/>
  <c r="G19" i="2"/>
  <c r="G18" i="1"/>
  <c r="F17" i="10"/>
  <c r="D17" i="10"/>
  <c r="C17" i="10"/>
  <c r="B17" i="10"/>
  <c r="F19" i="10"/>
  <c r="G19" i="10" s="1"/>
  <c r="D19" i="10"/>
  <c r="C19" i="10"/>
  <c r="B19" i="10"/>
  <c r="G17" i="9"/>
  <c r="F17" i="9"/>
  <c r="D17" i="9"/>
  <c r="C17" i="9"/>
  <c r="B17" i="9"/>
  <c r="G19" i="9"/>
  <c r="F19" i="9"/>
  <c r="D19" i="9"/>
  <c r="C19" i="9"/>
  <c r="B19" i="9"/>
  <c r="G19" i="8"/>
  <c r="F19" i="8"/>
  <c r="D19" i="8"/>
  <c r="C19" i="8"/>
  <c r="B19" i="8"/>
  <c r="G17" i="8"/>
  <c r="F17" i="8"/>
  <c r="D17" i="8"/>
  <c r="C17" i="8"/>
  <c r="B17" i="8"/>
  <c r="B17" i="7"/>
  <c r="G17" i="7"/>
  <c r="F17" i="7"/>
  <c r="D17" i="7"/>
  <c r="C17" i="7"/>
  <c r="G19" i="7"/>
  <c r="F19" i="7"/>
  <c r="D19" i="7"/>
  <c r="C19" i="7"/>
  <c r="B19" i="7"/>
  <c r="C19" i="2"/>
  <c r="D19" i="2"/>
  <c r="F19" i="2"/>
  <c r="B19" i="2"/>
  <c r="F17" i="2"/>
  <c r="C17" i="2"/>
  <c r="B17" i="2"/>
  <c r="G19" i="1"/>
  <c r="F21" i="10"/>
  <c r="G21" i="10" s="1"/>
  <c r="F21" i="9"/>
  <c r="G21" i="9" s="1"/>
  <c r="F21" i="8"/>
  <c r="G21" i="8" s="1"/>
  <c r="F21" i="7"/>
  <c r="G21" i="7" s="1"/>
  <c r="F21" i="2"/>
  <c r="F21" i="1"/>
  <c r="G21" i="2"/>
  <c r="G21" i="1"/>
  <c r="G17" i="2"/>
  <c r="G17" i="1"/>
  <c r="G5" i="9"/>
  <c r="G5" i="8"/>
  <c r="G6" i="8"/>
  <c r="G7" i="8"/>
  <c r="G8" i="8"/>
  <c r="G9" i="8"/>
  <c r="G10" i="8"/>
  <c r="G11" i="8"/>
  <c r="G12" i="8"/>
  <c r="G14" i="8"/>
  <c r="G15" i="8"/>
  <c r="G16" i="8"/>
  <c r="G20" i="8"/>
  <c r="G5" i="7"/>
  <c r="G6" i="7"/>
  <c r="G7" i="7"/>
  <c r="G8" i="7"/>
  <c r="G9" i="7"/>
  <c r="G10" i="7"/>
  <c r="G11" i="7"/>
  <c r="G12" i="7"/>
  <c r="G14" i="7"/>
  <c r="G15" i="7"/>
  <c r="G16" i="7"/>
  <c r="G20" i="7"/>
  <c r="N4" i="6"/>
  <c r="N5" i="6"/>
  <c r="N6" i="6"/>
  <c r="N7" i="6"/>
  <c r="N8" i="6"/>
  <c r="N9" i="6"/>
  <c r="L4" i="6"/>
  <c r="L5" i="6"/>
  <c r="L6" i="6"/>
  <c r="L7" i="6"/>
  <c r="L8" i="6"/>
  <c r="L9" i="6"/>
  <c r="F4" i="6"/>
  <c r="H4" i="6"/>
  <c r="J4" i="6"/>
  <c r="F5" i="6"/>
  <c r="H5" i="6"/>
  <c r="J5" i="6"/>
  <c r="F6" i="6"/>
  <c r="H6" i="6"/>
  <c r="J6" i="6"/>
  <c r="F7" i="6"/>
  <c r="H7" i="6"/>
  <c r="J7" i="6"/>
  <c r="F8" i="6"/>
  <c r="H8" i="6"/>
  <c r="J8" i="6"/>
  <c r="F9" i="6"/>
  <c r="H9" i="6"/>
  <c r="J9" i="6"/>
  <c r="D5" i="6"/>
  <c r="D6" i="6"/>
  <c r="D7" i="6"/>
  <c r="D8" i="6"/>
  <c r="D9" i="6"/>
  <c r="D4" i="6"/>
  <c r="G16" i="10"/>
  <c r="G16" i="9"/>
  <c r="G16" i="2"/>
  <c r="G16" i="1"/>
  <c r="G20" i="10"/>
  <c r="G20" i="9"/>
  <c r="G20" i="2"/>
  <c r="G20" i="1"/>
  <c r="G9" i="10"/>
  <c r="G9" i="9"/>
  <c r="G5" i="1"/>
  <c r="G4" i="1"/>
  <c r="G12" i="10"/>
  <c r="G11" i="10"/>
  <c r="G10" i="10"/>
  <c r="G12" i="9"/>
  <c r="G11" i="9"/>
  <c r="G10" i="9"/>
  <c r="G9" i="1"/>
  <c r="G15" i="10"/>
  <c r="G14" i="10"/>
  <c r="G8" i="10"/>
  <c r="G7" i="10"/>
  <c r="G6" i="10"/>
  <c r="G15" i="9"/>
  <c r="G14" i="9"/>
  <c r="G8" i="9"/>
  <c r="G7" i="9"/>
  <c r="G6" i="9"/>
  <c r="G15" i="2"/>
  <c r="G14" i="2"/>
  <c r="G13" i="2"/>
  <c r="G12" i="2"/>
  <c r="G11" i="2"/>
  <c r="G10" i="2"/>
  <c r="G9" i="2"/>
  <c r="G8" i="2"/>
  <c r="G7" i="2"/>
  <c r="G6" i="2"/>
  <c r="G5" i="2"/>
  <c r="G4" i="2"/>
  <c r="G22" i="2" s="1"/>
  <c r="G3" i="2"/>
  <c r="G15" i="1"/>
  <c r="G14" i="1"/>
  <c r="G13" i="1"/>
  <c r="G8" i="1"/>
  <c r="G7" i="1"/>
  <c r="G6" i="1"/>
  <c r="G3" i="1"/>
  <c r="G22" i="1" s="1"/>
  <c r="F22" i="10" l="1"/>
  <c r="G17" i="10"/>
  <c r="G22" i="10"/>
  <c r="D14" i="6"/>
  <c r="N14" i="6"/>
  <c r="N12" i="6"/>
  <c r="M16" i="6" s="1"/>
  <c r="L14" i="6"/>
  <c r="L12" i="6"/>
  <c r="K16" i="6" s="1"/>
  <c r="J14" i="6"/>
  <c r="J12" i="6"/>
  <c r="I16" i="6" s="1"/>
  <c r="H14" i="6"/>
  <c r="H12" i="6"/>
  <c r="G16" i="6" s="1"/>
  <c r="F14" i="6"/>
  <c r="C16" i="6" s="1"/>
  <c r="F12" i="6"/>
  <c r="E16" i="6" s="1"/>
</calcChain>
</file>

<file path=xl/sharedStrings.xml><?xml version="1.0" encoding="utf-8"?>
<sst xmlns="http://schemas.openxmlformats.org/spreadsheetml/2006/main" count="755" uniqueCount="204">
  <si>
    <t xml:space="preserve">                       Planilha de Inventário de Equipamentos - Minas Valor/ Poços de Caldas</t>
  </si>
  <si>
    <t xml:space="preserve">  Tipo Ativo</t>
  </si>
  <si>
    <t xml:space="preserve">   Modelo</t>
  </si>
  <si>
    <t xml:space="preserve"> Fabricante</t>
  </si>
  <si>
    <t xml:space="preserve">   Setor</t>
  </si>
  <si>
    <t>Quantidade</t>
  </si>
  <si>
    <t xml:space="preserve">  Valor</t>
  </si>
  <si>
    <t xml:space="preserve"> Valor Total</t>
  </si>
  <si>
    <t xml:space="preserve">  </t>
  </si>
  <si>
    <t>Computador</t>
  </si>
  <si>
    <t>OptiPlex 3000</t>
  </si>
  <si>
    <t>Dell</t>
  </si>
  <si>
    <t>Conselho Diretor
Conselho Fiscal
Financeiro
Atendimento ao Cooperado
Tecnologia da Informação (TI)
Recursos Humanos (RH)</t>
  </si>
  <si>
    <t>Servidor</t>
  </si>
  <si>
    <t>PowerEdge R450</t>
  </si>
  <si>
    <t>Tecnologia da Informação (TI)</t>
  </si>
  <si>
    <t>Switch</t>
  </si>
  <si>
    <t>Catalyst C9300X-48HX-A</t>
  </si>
  <si>
    <t>Cisco</t>
  </si>
  <si>
    <t>Mesa</t>
  </si>
  <si>
    <t>Marsala</t>
  </si>
  <si>
    <t>Pollo Móveis</t>
  </si>
  <si>
    <t xml:space="preserve">Conselho Diretor 
Conselho Fiscal 
Financeiro 
Atendimento ao Cooperado 
Tecnologia da Informação (TI) 
Recursos Humanos (RH) </t>
  </si>
  <si>
    <t>Cadeira</t>
  </si>
  <si>
    <t>Uni Me</t>
  </si>
  <si>
    <t>Flexform</t>
  </si>
  <si>
    <t>Headset</t>
  </si>
  <si>
    <t>Logitech H111</t>
  </si>
  <si>
    <t>Logitech</t>
  </si>
  <si>
    <t>Conselho Diretor 
Conselho Fiscal 
Financeiro 
Tecnologia da Informação (TI)</t>
  </si>
  <si>
    <t>Rack Servidor</t>
  </si>
  <si>
    <t>NetShelter SX 42U - AR3350</t>
  </si>
  <si>
    <t>APC</t>
  </si>
  <si>
    <t>Patch Panel</t>
  </si>
  <si>
    <t>Gigalan Premium</t>
  </si>
  <si>
    <t>Furukawa</t>
  </si>
  <si>
    <t>Patch Cord</t>
  </si>
  <si>
    <t>Conector</t>
  </si>
  <si>
    <t>Rj45 Cat6</t>
  </si>
  <si>
    <t>link+</t>
  </si>
  <si>
    <t>Placa Espelho</t>
  </si>
  <si>
    <t>Cabo de Rede</t>
  </si>
  <si>
    <t>LSZH Green</t>
  </si>
  <si>
    <t>Roteador</t>
  </si>
  <si>
    <t>ISR 4331/K9</t>
  </si>
  <si>
    <t>Impressora</t>
  </si>
  <si>
    <t>Laser DCPL2540DW</t>
  </si>
  <si>
    <t xml:space="preserve">Brother </t>
  </si>
  <si>
    <t>Conselho Diretor 
Conselho Fiscal 
Financeiro 
Atendimento ao Cooperado 
Tecnologia da Informação (TI) 
Recursos Humanos (RH)</t>
  </si>
  <si>
    <t>Scanner</t>
  </si>
  <si>
    <t>WorkForce ES-400 II</t>
  </si>
  <si>
    <t>Epson</t>
  </si>
  <si>
    <t>Financeiro</t>
  </si>
  <si>
    <t>Caixas Eletrônicos</t>
  </si>
  <si>
    <t>CS 2020</t>
  </si>
  <si>
    <t>Diebold Nixdorf</t>
  </si>
  <si>
    <t>Atendimento ao Cooperado</t>
  </si>
  <si>
    <t>Pin Pads (maquininhas de cartão)</t>
  </si>
  <si>
    <t>PPC930 USB</t>
  </si>
  <si>
    <t>Gertec</t>
  </si>
  <si>
    <t>Câmeras de CFTV IP</t>
  </si>
  <si>
    <t>IPC6325</t>
  </si>
  <si>
    <t>Axis Communications</t>
  </si>
  <si>
    <t>Sistemas de Biometria</t>
  </si>
  <si>
    <t>Relógio de Ponto Control ID REP iDClass Bio Prox
Catraca Biométrica Control iD iDBlock Next
Fechadura elétrica</t>
  </si>
  <si>
    <t>Control iD
Intelbras</t>
  </si>
  <si>
    <t xml:space="preserve">Conselho Diretor 
Financeiro 
Recursos Humanos (RH) </t>
  </si>
  <si>
    <t>TOTAL GERAL</t>
  </si>
  <si>
    <t xml:space="preserve">                       Planilha de Inventário de Equipamentos - Minas Valor/Águas da Prata</t>
  </si>
  <si>
    <t>C9200L-48P-4X-E</t>
  </si>
  <si>
    <t>Atendimento ao Cooperado </t>
  </si>
  <si>
    <t>AR3103</t>
  </si>
  <si>
    <t xml:space="preserve">Atendimento ao Cooperado </t>
  </si>
  <si>
    <t>Relógio de Ponto Control ID REP iDClass Bio Prox
Catraca Biométrica Control iD iDBlock Next</t>
  </si>
  <si>
    <t xml:space="preserve">                       Planilha de Inventário de Equipamentos - Minas Valor/São João da Boa Vista</t>
  </si>
  <si>
    <t xml:space="preserve">                       Planilha de Inventário de Equipamentos - Minas Valor/Bandeira do Sul</t>
  </si>
  <si>
    <t xml:space="preserve">                       Planilha de Inventário de Equipamentos - Minas Valor/São José do Rio Pardo </t>
  </si>
  <si>
    <t xml:space="preserve">                       Planilha de Inventário de Equipamentos - Minas Valor/Andradas </t>
  </si>
  <si>
    <t>Planilha de IP's</t>
  </si>
  <si>
    <t>Nome</t>
  </si>
  <si>
    <t xml:space="preserve"> IP adress</t>
  </si>
  <si>
    <t xml:space="preserve"> Subnet Mask</t>
  </si>
  <si>
    <t>IP Gateway</t>
  </si>
  <si>
    <t>IP Range</t>
  </si>
  <si>
    <t>DHCP IP</t>
  </si>
  <si>
    <t>Server Matriz</t>
  </si>
  <si>
    <t>192.168.0.2</t>
  </si>
  <si>
    <t>255.255.255.0</t>
  </si>
  <si>
    <t>192.168.0.1</t>
  </si>
  <si>
    <t>192.168.0.0/24</t>
  </si>
  <si>
    <t>PCConselhoDiretor1</t>
  </si>
  <si>
    <t>192.168.0.21</t>
  </si>
  <si>
    <t>PCConselhoDiretor2</t>
  </si>
  <si>
    <t>192.168.0.22</t>
  </si>
  <si>
    <t>PCConselhoDiretor3</t>
  </si>
  <si>
    <t>192.168.0.23</t>
  </si>
  <si>
    <t>ImpressoraConselhoDir</t>
  </si>
  <si>
    <t>192.168.0.24</t>
  </si>
  <si>
    <t>PCConselhoFiscal1</t>
  </si>
  <si>
    <t>192.168.0.25</t>
  </si>
  <si>
    <t>PCConselhoFiscal2</t>
  </si>
  <si>
    <t>192.168.0.26</t>
  </si>
  <si>
    <t>PCConselhoFiscal3</t>
  </si>
  <si>
    <t>192.168.0.27</t>
  </si>
  <si>
    <t>ImpressoraConselhoFiscal</t>
  </si>
  <si>
    <t>192.168.0.28</t>
  </si>
  <si>
    <t>PC Financeiro1</t>
  </si>
  <si>
    <t>192.168.0.29</t>
  </si>
  <si>
    <t>PC Financeiro2</t>
  </si>
  <si>
    <t>192.168.0.30</t>
  </si>
  <si>
    <t>Impressora Financeiro</t>
  </si>
  <si>
    <t>192.168.0.31</t>
  </si>
  <si>
    <t>PC RH 1</t>
  </si>
  <si>
    <t>192.168.0.32</t>
  </si>
  <si>
    <t>PC RH 2</t>
  </si>
  <si>
    <t>192.168.0.33</t>
  </si>
  <si>
    <t>Impressora RH</t>
  </si>
  <si>
    <t>192.168.0.34</t>
  </si>
  <si>
    <t>PCTI1</t>
  </si>
  <si>
    <t>192.168.0.35</t>
  </si>
  <si>
    <t>PCTI2</t>
  </si>
  <si>
    <t>192.168.0.36</t>
  </si>
  <si>
    <t>ImpressoraTI</t>
  </si>
  <si>
    <t>192.168.0.37</t>
  </si>
  <si>
    <t>PC Atendimento 1</t>
  </si>
  <si>
    <t>192.168.0.38</t>
  </si>
  <si>
    <t>PC Atendimento 2</t>
  </si>
  <si>
    <t>192.168.0.39</t>
  </si>
  <si>
    <t>PC Atendimento 3</t>
  </si>
  <si>
    <t>192.168.0.40</t>
  </si>
  <si>
    <t>Impressora Atendimento</t>
  </si>
  <si>
    <t>192.168.0.41</t>
  </si>
  <si>
    <t>Caixa Eletronico 1</t>
  </si>
  <si>
    <t>192.168.0.42</t>
  </si>
  <si>
    <t>Caixa Eletronico 2</t>
  </si>
  <si>
    <t>192.168.0.43</t>
  </si>
  <si>
    <t>Caixa Eletronico 3</t>
  </si>
  <si>
    <t>192.168.0.44</t>
  </si>
  <si>
    <t>Server Filial1</t>
  </si>
  <si>
    <t>192.168.1.2</t>
  </si>
  <si>
    <t>192.168.1.1</t>
  </si>
  <si>
    <t>192.168.1.0/24</t>
  </si>
  <si>
    <t>PC1 Filial1</t>
  </si>
  <si>
    <t>192.168.1.11</t>
  </si>
  <si>
    <t>PC2 Filial1</t>
  </si>
  <si>
    <t>192.168.1.12</t>
  </si>
  <si>
    <t>PC3 Filial1</t>
  </si>
  <si>
    <t>192.168.1.13</t>
  </si>
  <si>
    <t>Caixa1 Filial1</t>
  </si>
  <si>
    <t>192.168.1.14</t>
  </si>
  <si>
    <t>Impressora Filial1</t>
  </si>
  <si>
    <t>192.168.1.15</t>
  </si>
  <si>
    <t>Server Filial2</t>
  </si>
  <si>
    <t>192.168.2.2</t>
  </si>
  <si>
    <t>192.168.2.1</t>
  </si>
  <si>
    <t>192.168.2.0/24</t>
  </si>
  <si>
    <t>PC1 Filial2</t>
  </si>
  <si>
    <t>192.168.2.11</t>
  </si>
  <si>
    <t>PC2 Filial2</t>
  </si>
  <si>
    <t>192.168.2.12</t>
  </si>
  <si>
    <t>PC3 Filial2</t>
  </si>
  <si>
    <t>192.168.2.13</t>
  </si>
  <si>
    <t>Caixa1 Filial2</t>
  </si>
  <si>
    <t>192.168.2.14</t>
  </si>
  <si>
    <t>Impressora Filial2</t>
  </si>
  <si>
    <t>192.168.2.15</t>
  </si>
  <si>
    <t>Server Filial3</t>
  </si>
  <si>
    <t>192.168.3.2</t>
  </si>
  <si>
    <t>192.168.3.1</t>
  </si>
  <si>
    <t>192.168.3.0/24</t>
  </si>
  <si>
    <t>PC1 Filial3</t>
  </si>
  <si>
    <t>192.168.3.11</t>
  </si>
  <si>
    <t>PC2 Filial3</t>
  </si>
  <si>
    <t>192.168.3.12</t>
  </si>
  <si>
    <t>PC3 Filial3</t>
  </si>
  <si>
    <t>192.168.3.13</t>
  </si>
  <si>
    <t>Caixa1 Filial3</t>
  </si>
  <si>
    <t>192.168.3.14</t>
  </si>
  <si>
    <t>Impressora Filial3</t>
  </si>
  <si>
    <t>192.168.3.15</t>
  </si>
  <si>
    <t>Cálculo de Links de dados e de Internet</t>
  </si>
  <si>
    <t>Necessidades Corporativas</t>
  </si>
  <si>
    <t>Matriz Poços de Caldas</t>
  </si>
  <si>
    <t>Filial Águas da Prata</t>
  </si>
  <si>
    <t>Filial São João da Boa Vista</t>
  </si>
  <si>
    <t>Filial Bandeira do Sul</t>
  </si>
  <si>
    <t>Filial São José do Rio Pardo</t>
  </si>
  <si>
    <t>Filial Andradas</t>
  </si>
  <si>
    <t>Aplicação</t>
  </si>
  <si>
    <t>Requisitos (kbps</t>
  </si>
  <si>
    <t>Total (kbps)</t>
  </si>
  <si>
    <t>Internet Banking</t>
  </si>
  <si>
    <t>Videoconferência</t>
  </si>
  <si>
    <t>Sistema Legado</t>
  </si>
  <si>
    <t>Suporte Remoto</t>
  </si>
  <si>
    <t>Web</t>
  </si>
  <si>
    <t>E-mail</t>
  </si>
  <si>
    <t>Total App</t>
  </si>
  <si>
    <t>Total Internet</t>
  </si>
  <si>
    <t>Link Internet</t>
  </si>
  <si>
    <t>Link Matriz &lt;--&gt; Filial 1</t>
  </si>
  <si>
    <t>Link Matriz &lt;--&gt; Filial 2</t>
  </si>
  <si>
    <t>Link Matriz &lt;--&gt; Filial 3</t>
  </si>
  <si>
    <t>Redutor capacid.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</si>
</sst>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\-??_-;_-@_-"/>
  </numFmts>
  <fonts count="6">
    <font>
      <sz val="11"/>
      <color rgb="FF000000"/>
      <name val="Calibri"/>
      <family val="2"/>
      <charset val="1"/>
    </font>
    <font>
      <sz val="14"/>
      <color rgb="FF203864"/>
      <name val="Calibri"/>
      <family val="2"/>
      <charset val="1"/>
    </font>
    <font>
      <sz val="12"/>
      <color rgb="FF203864"/>
      <name val="Calibri"/>
      <family val="2"/>
      <charset val="1"/>
    </font>
    <font>
      <sz val="11"/>
      <color rgb="FF203864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203864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9D18E"/>
        <bgColor rgb="FFC6E0B4"/>
      </patternFill>
    </fill>
    <fill>
      <patternFill patternType="solid">
        <fgColor rgb="FFE2F0D9"/>
        <bgColor rgb="FFE2EFDA"/>
      </patternFill>
    </fill>
    <fill>
      <patternFill patternType="solid">
        <fgColor rgb="FFE2EFDA"/>
        <bgColor rgb="FFE2F0D9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E2F0D9"/>
      </patternFill>
    </fill>
    <fill>
      <patternFill patternType="solid">
        <fgColor rgb="FFD9D9D9"/>
        <bgColor rgb="FFD9E1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1" fillId="4" borderId="2" xfId="0" applyFont="1" applyFill="1" applyBorder="1"/>
    <xf numFmtId="0" fontId="3" fillId="5" borderId="2" xfId="0" applyFont="1" applyFill="1" applyBorder="1"/>
    <xf numFmtId="0" fontId="0" fillId="4" borderId="0" xfId="0" applyFill="1"/>
    <xf numFmtId="3" fontId="3" fillId="4" borderId="2" xfId="0" applyNumberFormat="1" applyFont="1" applyFill="1" applyBorder="1"/>
    <xf numFmtId="0" fontId="4" fillId="7" borderId="5" xfId="0" applyFont="1" applyFill="1" applyBorder="1"/>
    <xf numFmtId="0" fontId="4" fillId="7" borderId="6" xfId="0" applyFont="1" applyFill="1" applyBorder="1" applyAlignment="1">
      <alignment wrapText="1"/>
    </xf>
    <xf numFmtId="0" fontId="4" fillId="7" borderId="7" xfId="0" applyFont="1" applyFill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7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0" xfId="0" applyFont="1"/>
    <xf numFmtId="0" fontId="4" fillId="0" borderId="10" xfId="0" applyFont="1" applyBorder="1"/>
    <xf numFmtId="0" fontId="4" fillId="0" borderId="2" xfId="0" applyFont="1" applyBorder="1"/>
    <xf numFmtId="0" fontId="4" fillId="0" borderId="11" xfId="0" applyFont="1" applyBorder="1"/>
    <xf numFmtId="0" fontId="4" fillId="0" borderId="3" xfId="0" applyFont="1" applyBorder="1"/>
    <xf numFmtId="0" fontId="4" fillId="0" borderId="12" xfId="0" applyFont="1" applyBorder="1"/>
    <xf numFmtId="0" fontId="3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right"/>
    </xf>
    <xf numFmtId="0" fontId="3" fillId="10" borderId="2" xfId="0" applyFont="1" applyFill="1" applyBorder="1"/>
    <xf numFmtId="0" fontId="5" fillId="11" borderId="2" xfId="0" applyFont="1" applyFill="1" applyBorder="1" applyAlignment="1">
      <alignment horizontal="center"/>
    </xf>
    <xf numFmtId="164" fontId="5" fillId="11" borderId="2" xfId="0" applyNumberFormat="1" applyFont="1" applyFill="1" applyBorder="1" applyAlignment="1">
      <alignment horizontal="center"/>
    </xf>
    <xf numFmtId="0" fontId="4" fillId="7" borderId="6" xfId="0" applyFont="1" applyFill="1" applyBorder="1"/>
    <xf numFmtId="0" fontId="4" fillId="7" borderId="18" xfId="0" applyFont="1" applyFill="1" applyBorder="1"/>
    <xf numFmtId="0" fontId="4" fillId="7" borderId="19" xfId="0" applyFont="1" applyFill="1" applyBorder="1"/>
    <xf numFmtId="0" fontId="4" fillId="8" borderId="18" xfId="0" applyFont="1" applyFill="1" applyBorder="1"/>
    <xf numFmtId="0" fontId="4" fillId="8" borderId="19" xfId="0" applyFont="1" applyFill="1" applyBorder="1"/>
    <xf numFmtId="0" fontId="4" fillId="0" borderId="18" xfId="0" applyFont="1" applyBorder="1"/>
    <xf numFmtId="0" fontId="4" fillId="0" borderId="20" xfId="0" applyFont="1" applyBorder="1"/>
    <xf numFmtId="0" fontId="4" fillId="0" borderId="19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FFF99"/>
      <rgbColor rgb="FF99CCFF"/>
      <rgbColor rgb="FFFF99CC"/>
      <rgbColor rgb="FFCC99FF"/>
      <rgbColor rgb="FFC6E0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zoomScale="115" zoomScaleNormal="115" workbookViewId="0">
      <selection activeCell="E18" sqref="E18"/>
    </sheetView>
  </sheetViews>
  <sheetFormatPr defaultColWidth="8.7109375" defaultRowHeight="15"/>
  <cols>
    <col min="1" max="1" width="32.7109375" customWidth="1"/>
    <col min="2" max="2" width="51.7109375" customWidth="1"/>
    <col min="3" max="3" width="20.5703125" customWidth="1"/>
    <col min="4" max="4" width="31.85546875" customWidth="1"/>
    <col min="5" max="5" width="24.85546875" customWidth="1"/>
    <col min="6" max="6" width="34.140625" customWidth="1"/>
    <col min="7" max="7" width="37.85546875" customWidth="1"/>
  </cols>
  <sheetData>
    <row r="1" spans="1:9" ht="18.75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</row>
    <row r="3" spans="1:9" ht="91.5">
      <c r="A3" s="3" t="s">
        <v>9</v>
      </c>
      <c r="B3" s="3" t="s">
        <v>10</v>
      </c>
      <c r="C3" s="3" t="s">
        <v>11</v>
      </c>
      <c r="D3" s="26" t="s">
        <v>12</v>
      </c>
      <c r="E3" s="27">
        <v>15</v>
      </c>
      <c r="F3" s="4">
        <v>3599</v>
      </c>
      <c r="G3" s="4">
        <f>E3*F3</f>
        <v>53985</v>
      </c>
      <c r="H3" s="5"/>
      <c r="I3" s="5"/>
    </row>
    <row r="4" spans="1:9" ht="18.75">
      <c r="A4" s="3" t="s">
        <v>13</v>
      </c>
      <c r="B4" s="3" t="s">
        <v>14</v>
      </c>
      <c r="C4" s="3" t="s">
        <v>11</v>
      </c>
      <c r="D4" s="3" t="s">
        <v>15</v>
      </c>
      <c r="E4" s="27">
        <v>1</v>
      </c>
      <c r="F4" s="4">
        <v>41256.93</v>
      </c>
      <c r="G4" s="4">
        <f>E4*F4</f>
        <v>41256.93</v>
      </c>
      <c r="H4" s="5"/>
      <c r="I4" s="5"/>
    </row>
    <row r="5" spans="1:9" ht="18.75">
      <c r="A5" s="3" t="s">
        <v>16</v>
      </c>
      <c r="B5" s="3" t="s">
        <v>17</v>
      </c>
      <c r="C5" s="3" t="s">
        <v>18</v>
      </c>
      <c r="D5" s="3" t="s">
        <v>15</v>
      </c>
      <c r="E5" s="27">
        <v>2</v>
      </c>
      <c r="F5" s="4">
        <v>35779.589999999997</v>
      </c>
      <c r="G5" s="4">
        <f>E5*F5</f>
        <v>71559.179999999993</v>
      </c>
      <c r="H5" s="5"/>
      <c r="I5" s="5"/>
    </row>
    <row r="6" spans="1:9" ht="91.5">
      <c r="A6" s="30" t="s">
        <v>19</v>
      </c>
      <c r="B6" s="27" t="s">
        <v>20</v>
      </c>
      <c r="C6" s="27" t="s">
        <v>21</v>
      </c>
      <c r="D6" s="31" t="s">
        <v>22</v>
      </c>
      <c r="E6" s="27">
        <v>15</v>
      </c>
      <c r="F6" s="28">
        <v>1067.8499999999999</v>
      </c>
      <c r="G6" s="28">
        <f t="shared" ref="G6:G15" si="0">E6*F6</f>
        <v>16017.749999999998</v>
      </c>
      <c r="H6" s="29"/>
      <c r="I6" s="29"/>
    </row>
    <row r="7" spans="1:9" ht="91.5">
      <c r="A7" s="3" t="s">
        <v>23</v>
      </c>
      <c r="B7" s="3" t="s">
        <v>24</v>
      </c>
      <c r="C7" s="3" t="s">
        <v>25</v>
      </c>
      <c r="D7" s="31" t="s">
        <v>22</v>
      </c>
      <c r="E7" s="3">
        <v>15</v>
      </c>
      <c r="F7" s="4">
        <v>833.85</v>
      </c>
      <c r="G7" s="4">
        <f t="shared" si="0"/>
        <v>12507.75</v>
      </c>
      <c r="H7" s="5"/>
      <c r="I7" s="5"/>
    </row>
    <row r="8" spans="1:9" ht="60.75">
      <c r="A8" s="3" t="s">
        <v>26</v>
      </c>
      <c r="B8" s="3" t="s">
        <v>27</v>
      </c>
      <c r="C8" s="3" t="s">
        <v>28</v>
      </c>
      <c r="D8" s="26" t="s">
        <v>29</v>
      </c>
      <c r="E8" s="3">
        <v>13</v>
      </c>
      <c r="F8" s="4">
        <v>115</v>
      </c>
      <c r="G8" s="4">
        <f t="shared" si="0"/>
        <v>1495</v>
      </c>
      <c r="H8" s="5"/>
      <c r="I8" s="5"/>
    </row>
    <row r="9" spans="1:9" ht="18.75">
      <c r="A9" s="35" t="s">
        <v>30</v>
      </c>
      <c r="B9" s="3" t="s">
        <v>31</v>
      </c>
      <c r="C9" s="3" t="s">
        <v>32</v>
      </c>
      <c r="D9" s="3" t="s">
        <v>15</v>
      </c>
      <c r="E9" s="3">
        <v>1</v>
      </c>
      <c r="F9" s="4">
        <v>14151.92</v>
      </c>
      <c r="G9" s="4">
        <f>E9*F9</f>
        <v>14151.92</v>
      </c>
      <c r="H9" s="5"/>
      <c r="I9" s="5"/>
    </row>
    <row r="10" spans="1:9" ht="91.5">
      <c r="A10" s="35" t="s">
        <v>33</v>
      </c>
      <c r="B10" s="32" t="s">
        <v>34</v>
      </c>
      <c r="C10" s="32" t="s">
        <v>35</v>
      </c>
      <c r="D10" s="26" t="s">
        <v>22</v>
      </c>
      <c r="E10" s="32">
        <v>2</v>
      </c>
      <c r="F10" s="4">
        <v>1000</v>
      </c>
      <c r="G10" s="4">
        <v>578.76</v>
      </c>
      <c r="H10" s="5"/>
      <c r="I10" s="5"/>
    </row>
    <row r="11" spans="1:9" ht="91.5">
      <c r="A11" s="35" t="s">
        <v>36</v>
      </c>
      <c r="B11" s="32" t="s">
        <v>34</v>
      </c>
      <c r="C11" s="32" t="s">
        <v>35</v>
      </c>
      <c r="D11" s="26" t="s">
        <v>22</v>
      </c>
      <c r="E11" s="33">
        <v>53</v>
      </c>
      <c r="F11" s="4">
        <v>70</v>
      </c>
      <c r="G11" s="4">
        <v>847.47</v>
      </c>
      <c r="H11" s="5"/>
      <c r="I11" s="5"/>
    </row>
    <row r="12" spans="1:9" ht="91.5">
      <c r="A12" s="35" t="s">
        <v>37</v>
      </c>
      <c r="B12" s="32" t="s">
        <v>38</v>
      </c>
      <c r="C12" s="32" t="s">
        <v>39</v>
      </c>
      <c r="D12" s="26" t="s">
        <v>22</v>
      </c>
      <c r="E12" s="33">
        <v>48</v>
      </c>
      <c r="F12" s="4">
        <v>70</v>
      </c>
      <c r="G12" s="4">
        <v>125.13</v>
      </c>
      <c r="H12" s="5"/>
      <c r="I12" s="5"/>
    </row>
    <row r="13" spans="1:9" ht="91.5">
      <c r="A13" s="35" t="s">
        <v>40</v>
      </c>
      <c r="B13" s="32" t="s">
        <v>34</v>
      </c>
      <c r="C13" s="32" t="s">
        <v>35</v>
      </c>
      <c r="D13" s="26" t="s">
        <v>12</v>
      </c>
      <c r="E13" s="33">
        <v>48</v>
      </c>
      <c r="F13" s="4">
        <v>10</v>
      </c>
      <c r="G13" s="4">
        <f t="shared" si="0"/>
        <v>480</v>
      </c>
      <c r="H13" s="5"/>
      <c r="I13" s="5"/>
    </row>
    <row r="14" spans="1:9" ht="91.5">
      <c r="A14" s="35" t="s">
        <v>41</v>
      </c>
      <c r="B14" s="3" t="s">
        <v>42</v>
      </c>
      <c r="C14" s="3" t="s">
        <v>35</v>
      </c>
      <c r="D14" s="26" t="s">
        <v>22</v>
      </c>
      <c r="E14" s="3">
        <v>2</v>
      </c>
      <c r="F14" s="4">
        <v>2277</v>
      </c>
      <c r="G14" s="4">
        <f t="shared" si="0"/>
        <v>4554</v>
      </c>
      <c r="H14" s="5"/>
      <c r="I14" s="5"/>
    </row>
    <row r="15" spans="1:9" ht="18.75">
      <c r="A15" s="3" t="s">
        <v>43</v>
      </c>
      <c r="B15" s="3" t="s">
        <v>44</v>
      </c>
      <c r="C15" s="3" t="s">
        <v>18</v>
      </c>
      <c r="D15" s="3" t="s">
        <v>15</v>
      </c>
      <c r="E15" s="3">
        <v>1</v>
      </c>
      <c r="F15" s="4">
        <v>13204.59</v>
      </c>
      <c r="G15" s="4">
        <f t="shared" si="0"/>
        <v>13204.59</v>
      </c>
      <c r="H15" s="5"/>
      <c r="I15" s="5"/>
    </row>
    <row r="16" spans="1:9" ht="91.5">
      <c r="A16" s="3" t="s">
        <v>45</v>
      </c>
      <c r="B16" s="3" t="s">
        <v>46</v>
      </c>
      <c r="C16" s="3" t="s">
        <v>47</v>
      </c>
      <c r="D16" s="26" t="s">
        <v>48</v>
      </c>
      <c r="E16" s="3">
        <v>6</v>
      </c>
      <c r="F16" s="4">
        <v>1934.99</v>
      </c>
      <c r="G16" s="4">
        <f>E16*F16</f>
        <v>11609.94</v>
      </c>
      <c r="H16" s="5"/>
      <c r="I16" s="5"/>
    </row>
    <row r="17" spans="1:9" ht="18.75">
      <c r="A17" s="3" t="s">
        <v>49</v>
      </c>
      <c r="B17" s="26" t="s">
        <v>50</v>
      </c>
      <c r="C17" s="26" t="s">
        <v>51</v>
      </c>
      <c r="D17" s="26" t="s">
        <v>52</v>
      </c>
      <c r="E17" s="3">
        <v>5</v>
      </c>
      <c r="F17" s="4">
        <v>2300</v>
      </c>
      <c r="G17" s="4">
        <f>E17*F17</f>
        <v>11500</v>
      </c>
      <c r="H17" s="5"/>
      <c r="I17" s="5"/>
    </row>
    <row r="18" spans="1:9" ht="18.75">
      <c r="A18" s="3" t="s">
        <v>53</v>
      </c>
      <c r="B18" s="26" t="s">
        <v>54</v>
      </c>
      <c r="C18" s="26" t="s">
        <v>55</v>
      </c>
      <c r="D18" s="26" t="s">
        <v>56</v>
      </c>
      <c r="E18" s="3">
        <v>3</v>
      </c>
      <c r="F18" s="4">
        <v>45000</v>
      </c>
      <c r="G18" s="4">
        <f>E18*F18</f>
        <v>135000</v>
      </c>
      <c r="H18" s="5"/>
      <c r="I18" s="5"/>
    </row>
    <row r="19" spans="1:9" ht="18.75">
      <c r="A19" s="3" t="s">
        <v>57</v>
      </c>
      <c r="B19" s="26" t="s">
        <v>58</v>
      </c>
      <c r="C19" s="26" t="s">
        <v>59</v>
      </c>
      <c r="D19" s="26" t="s">
        <v>56</v>
      </c>
      <c r="E19" s="3">
        <v>4</v>
      </c>
      <c r="F19" s="4">
        <v>780</v>
      </c>
      <c r="G19" s="4">
        <f>F19*E19</f>
        <v>3120</v>
      </c>
      <c r="H19" s="5"/>
      <c r="I19" s="5"/>
    </row>
    <row r="20" spans="1:9" ht="91.5">
      <c r="A20" s="3" t="s">
        <v>60</v>
      </c>
      <c r="B20" s="3" t="s">
        <v>61</v>
      </c>
      <c r="C20" s="3" t="s">
        <v>62</v>
      </c>
      <c r="D20" s="26" t="s">
        <v>22</v>
      </c>
      <c r="E20" s="3">
        <v>36</v>
      </c>
      <c r="F20" s="4">
        <v>503.61</v>
      </c>
      <c r="G20" s="4">
        <f>E20*F20</f>
        <v>18129.96</v>
      </c>
      <c r="H20" s="5"/>
      <c r="I20" s="5"/>
    </row>
    <row r="21" spans="1:9" ht="45.75">
      <c r="A21" s="3" t="s">
        <v>63</v>
      </c>
      <c r="B21" s="26" t="s">
        <v>64</v>
      </c>
      <c r="C21" s="26" t="s">
        <v>65</v>
      </c>
      <c r="D21" s="26" t="s">
        <v>66</v>
      </c>
      <c r="E21" s="3">
        <v>4</v>
      </c>
      <c r="F21" s="4">
        <f>1700+5200+250</f>
        <v>7150</v>
      </c>
      <c r="G21" s="4">
        <f>E21*F21</f>
        <v>28600</v>
      </c>
      <c r="H21" s="5"/>
      <c r="I21" s="5"/>
    </row>
    <row r="22" spans="1:9" ht="18.75">
      <c r="A22" s="36" t="s">
        <v>67</v>
      </c>
      <c r="B22" s="36"/>
      <c r="C22" s="36"/>
      <c r="D22" s="36"/>
      <c r="E22" s="36" t="str">
        <f>"Soma Quantidade: " &amp; SUM(E3:E21)</f>
        <v>Soma Quantidade: 274</v>
      </c>
      <c r="F22" s="37" t="str">
        <f>"*Soma dos Unitários: " &amp; TEXT(SUM(F3:F21), "R$ #.##0,00")</f>
        <v>*Soma dos Unitários: R$ 171.104,33</v>
      </c>
      <c r="G22" s="37" t="str">
        <f>"Soma do Valor Total: " &amp; TEXT(SUM(G3:G21), "R$ #.##0,00")</f>
        <v>Soma do Valor Total: R$ 438.723,38</v>
      </c>
      <c r="H22" s="5"/>
      <c r="I22" s="5"/>
    </row>
    <row r="23" spans="1:9" ht="18.75">
      <c r="A23" s="3"/>
      <c r="B23" s="3"/>
      <c r="C23" s="3"/>
      <c r="D23" s="3"/>
      <c r="E23" s="3"/>
      <c r="F23" s="4"/>
      <c r="G23" s="4"/>
      <c r="H23" s="5"/>
      <c r="I23" s="5"/>
    </row>
    <row r="24" spans="1:9" ht="18.75">
      <c r="A24" s="3"/>
      <c r="B24" s="3"/>
      <c r="C24" s="3"/>
      <c r="D24" s="3"/>
      <c r="E24" s="3"/>
      <c r="F24" s="4"/>
      <c r="G24" s="4"/>
      <c r="H24" s="5"/>
      <c r="I24" s="5"/>
    </row>
    <row r="25" spans="1:9" ht="18.75">
      <c r="A25" s="3"/>
      <c r="B25" s="3"/>
      <c r="C25" s="3"/>
      <c r="D25" s="3"/>
      <c r="E25" s="3"/>
      <c r="F25" s="4"/>
      <c r="G25" s="4"/>
      <c r="H25" s="5"/>
      <c r="I25" s="5"/>
    </row>
    <row r="26" spans="1:9" ht="18.75">
      <c r="A26" s="3"/>
      <c r="B26" s="3"/>
      <c r="C26" s="3"/>
      <c r="D26" s="3"/>
      <c r="E26" s="3"/>
      <c r="F26" s="4"/>
      <c r="G26" s="4"/>
      <c r="H26" s="5"/>
      <c r="I26" s="5"/>
    </row>
    <row r="27" spans="1:9" ht="18.75">
      <c r="A27" s="3"/>
      <c r="B27" s="3"/>
      <c r="C27" s="3"/>
      <c r="D27" s="3"/>
      <c r="E27" s="3"/>
      <c r="F27" s="4"/>
      <c r="G27" s="4"/>
      <c r="H27" s="5"/>
      <c r="I27" s="5"/>
    </row>
    <row r="28" spans="1:9" ht="18.75">
      <c r="A28" s="3"/>
      <c r="B28" s="3"/>
      <c r="C28" s="3"/>
      <c r="D28" s="3"/>
      <c r="E28" s="3"/>
      <c r="F28" s="4"/>
      <c r="G28" s="4"/>
      <c r="H28" s="5"/>
      <c r="I28" s="5"/>
    </row>
    <row r="29" spans="1:9" ht="18.75">
      <c r="A29" s="3"/>
      <c r="B29" s="3"/>
      <c r="C29" s="3"/>
      <c r="D29" s="3"/>
      <c r="E29" s="3"/>
      <c r="F29" s="4"/>
      <c r="G29" s="4"/>
      <c r="H29" s="5"/>
      <c r="I29" s="5"/>
    </row>
    <row r="30" spans="1:9" ht="18.75">
      <c r="A30" s="3"/>
      <c r="B30" s="3"/>
      <c r="C30" s="3"/>
      <c r="D30" s="3"/>
      <c r="E30" s="3"/>
      <c r="F30" s="4"/>
      <c r="G30" s="4"/>
      <c r="H30" s="5"/>
      <c r="I30" s="5"/>
    </row>
    <row r="31" spans="1:9" ht="18.75">
      <c r="A31" s="3"/>
      <c r="B31" s="3"/>
      <c r="C31" s="3"/>
      <c r="D31" s="3"/>
      <c r="E31" s="3"/>
      <c r="F31" s="4"/>
      <c r="G31" s="4"/>
      <c r="H31" s="5"/>
      <c r="I31" s="5"/>
    </row>
    <row r="32" spans="1:9" ht="18.75">
      <c r="A32" s="3"/>
      <c r="B32" s="3"/>
      <c r="C32" s="3"/>
      <c r="D32" s="3"/>
      <c r="E32" s="3"/>
      <c r="F32" s="4"/>
      <c r="G32" s="4"/>
      <c r="H32" s="5"/>
      <c r="I32" s="5"/>
    </row>
    <row r="33" spans="1:9" ht="18.75">
      <c r="A33" s="3"/>
      <c r="B33" s="3"/>
      <c r="C33" s="3"/>
      <c r="D33" s="3"/>
      <c r="E33" s="3"/>
      <c r="F33" s="4"/>
      <c r="G33" s="4"/>
      <c r="H33" s="5"/>
      <c r="I33" s="5"/>
    </row>
    <row r="34" spans="1:9" ht="18.75">
      <c r="A34" s="3"/>
      <c r="B34" s="3"/>
      <c r="C34" s="3"/>
      <c r="D34" s="3"/>
      <c r="E34" s="3"/>
      <c r="F34" s="4"/>
      <c r="G34" s="4"/>
      <c r="H34" s="5"/>
      <c r="I34" s="5"/>
    </row>
    <row r="35" spans="1:9" ht="18.75">
      <c r="A35" s="3"/>
      <c r="B35" s="3"/>
      <c r="C35" s="3"/>
      <c r="D35" s="3"/>
      <c r="E35" s="3"/>
      <c r="F35" s="4"/>
      <c r="G35" s="4"/>
      <c r="H35" s="5"/>
      <c r="I35" s="5"/>
    </row>
    <row r="36" spans="1:9" ht="18.75">
      <c r="A36" s="3"/>
      <c r="B36" s="3"/>
      <c r="C36" s="3"/>
      <c r="D36" s="3"/>
      <c r="E36" s="3"/>
      <c r="F36" s="4"/>
      <c r="G36" s="4"/>
      <c r="H36" s="5"/>
      <c r="I36" s="5"/>
    </row>
    <row r="37" spans="1:9" ht="18.75">
      <c r="A37" s="3"/>
      <c r="B37" s="3"/>
      <c r="C37" s="3"/>
      <c r="D37" s="3"/>
      <c r="E37" s="3"/>
      <c r="F37" s="4"/>
      <c r="G37" s="4"/>
      <c r="H37" s="5"/>
      <c r="I37" s="5"/>
    </row>
    <row r="38" spans="1:9" ht="18.75">
      <c r="A38" s="3"/>
      <c r="B38" s="3"/>
      <c r="C38" s="3"/>
      <c r="D38" s="3"/>
      <c r="E38" s="3"/>
      <c r="F38" s="4"/>
      <c r="G38" s="4"/>
      <c r="H38" s="5"/>
      <c r="I38" s="5"/>
    </row>
    <row r="39" spans="1:9" ht="18.75">
      <c r="A39" s="3"/>
      <c r="B39" s="3"/>
      <c r="C39" s="3"/>
      <c r="D39" s="3"/>
      <c r="E39" s="3"/>
      <c r="F39" s="4"/>
      <c r="G39" s="4"/>
      <c r="H39" s="5"/>
      <c r="I39" s="5"/>
    </row>
    <row r="40" spans="1:9" ht="18.75">
      <c r="A40" s="3"/>
      <c r="B40" s="3"/>
      <c r="C40" s="3"/>
      <c r="D40" s="3"/>
      <c r="E40" s="3"/>
      <c r="F40" s="4"/>
      <c r="G40" s="4"/>
      <c r="H40" s="5"/>
      <c r="I40" s="5"/>
    </row>
    <row r="41" spans="1:9" ht="18.75">
      <c r="A41" s="3"/>
      <c r="B41" s="3"/>
      <c r="C41" s="3"/>
      <c r="D41" s="3"/>
      <c r="E41" s="3"/>
      <c r="F41" s="4"/>
      <c r="G41" s="4"/>
      <c r="H41" s="5"/>
      <c r="I41" s="5"/>
    </row>
    <row r="42" spans="1:9" ht="18.75">
      <c r="A42" s="3"/>
      <c r="B42" s="3"/>
      <c r="C42" s="3"/>
      <c r="D42" s="3"/>
      <c r="E42" s="3"/>
      <c r="F42" s="4"/>
      <c r="G42" s="4"/>
      <c r="H42" s="5"/>
      <c r="I42" s="5"/>
    </row>
    <row r="43" spans="1:9" ht="18.75">
      <c r="A43" s="3"/>
      <c r="B43" s="3"/>
      <c r="C43" s="3"/>
      <c r="D43" s="3"/>
      <c r="E43" s="3"/>
      <c r="F43" s="4"/>
      <c r="G43" s="4"/>
      <c r="H43" s="5"/>
      <c r="I43" s="5"/>
    </row>
    <row r="44" spans="1:9" ht="18.75">
      <c r="A44" s="3"/>
      <c r="B44" s="3"/>
      <c r="C44" s="3"/>
      <c r="D44" s="3"/>
      <c r="E44" s="3"/>
      <c r="F44" s="4"/>
      <c r="G44" s="4"/>
      <c r="H44" s="5"/>
      <c r="I44" s="5"/>
    </row>
    <row r="45" spans="1:9" ht="18.75">
      <c r="A45" s="3"/>
      <c r="B45" s="3"/>
      <c r="C45" s="3"/>
      <c r="D45" s="3"/>
      <c r="E45" s="3"/>
      <c r="F45" s="4"/>
      <c r="G45" s="4"/>
      <c r="H45" s="5"/>
      <c r="I45" s="5"/>
    </row>
    <row r="46" spans="1:9" ht="18.75">
      <c r="A46" s="3"/>
      <c r="B46" s="3"/>
      <c r="C46" s="3"/>
      <c r="D46" s="3"/>
      <c r="E46" s="3"/>
      <c r="F46" s="4"/>
      <c r="G46" s="4"/>
      <c r="H46" s="5"/>
      <c r="I46" s="5"/>
    </row>
    <row r="47" spans="1:9" ht="18.75">
      <c r="A47" s="3"/>
      <c r="B47" s="3"/>
      <c r="C47" s="3"/>
      <c r="D47" s="3"/>
      <c r="E47" s="3"/>
      <c r="F47" s="4"/>
      <c r="G47" s="4"/>
      <c r="H47" s="5"/>
      <c r="I47" s="5"/>
    </row>
    <row r="48" spans="1:9" ht="18.75">
      <c r="A48" s="3"/>
      <c r="B48" s="3"/>
      <c r="C48" s="3"/>
      <c r="D48" s="3"/>
      <c r="E48" s="3"/>
      <c r="F48" s="4"/>
      <c r="G48" s="4"/>
      <c r="H48" s="5"/>
      <c r="I48" s="5"/>
    </row>
    <row r="49" spans="1:9" ht="18.75">
      <c r="A49" s="3"/>
      <c r="B49" s="3"/>
      <c r="C49" s="3"/>
      <c r="D49" s="3"/>
      <c r="E49" s="3"/>
      <c r="F49" s="4"/>
      <c r="G49" s="4"/>
      <c r="H49" s="5"/>
      <c r="I49" s="5"/>
    </row>
    <row r="50" spans="1:9" ht="18.75">
      <c r="A50" s="3"/>
      <c r="B50" s="3"/>
      <c r="C50" s="3"/>
      <c r="D50" s="3"/>
      <c r="E50" s="3"/>
      <c r="F50" s="4"/>
      <c r="G50" s="4"/>
      <c r="H50" s="5"/>
      <c r="I50" s="5"/>
    </row>
    <row r="51" spans="1:9" ht="18.75">
      <c r="A51" s="3"/>
      <c r="B51" s="3"/>
      <c r="C51" s="3"/>
      <c r="D51" s="3"/>
      <c r="E51" s="3"/>
      <c r="F51" s="4"/>
      <c r="G51" s="4"/>
      <c r="H51" s="5"/>
      <c r="I51" s="5"/>
    </row>
    <row r="52" spans="1:9" ht="18.75">
      <c r="A52" s="3"/>
      <c r="B52" s="3"/>
      <c r="C52" s="3"/>
      <c r="D52" s="3"/>
      <c r="E52" s="3"/>
      <c r="F52" s="4"/>
      <c r="G52" s="4"/>
      <c r="H52" s="5"/>
      <c r="I52" s="5"/>
    </row>
    <row r="53" spans="1:9" ht="18.75">
      <c r="A53" s="3"/>
      <c r="B53" s="3"/>
      <c r="C53" s="3"/>
      <c r="D53" s="3"/>
      <c r="E53" s="3"/>
      <c r="F53" s="4"/>
      <c r="G53" s="4"/>
      <c r="H53" s="5"/>
      <c r="I53" s="5"/>
    </row>
    <row r="54" spans="1:9" ht="18.75">
      <c r="A54" s="3"/>
      <c r="B54" s="3"/>
      <c r="C54" s="3"/>
      <c r="D54" s="3"/>
      <c r="E54" s="3"/>
      <c r="F54" s="4"/>
      <c r="G54" s="4"/>
      <c r="H54" s="5"/>
      <c r="I54" s="5"/>
    </row>
    <row r="55" spans="1:9" ht="18.75">
      <c r="A55" s="3"/>
      <c r="B55" s="3"/>
      <c r="C55" s="3"/>
      <c r="D55" s="3"/>
      <c r="E55" s="3"/>
      <c r="F55" s="4"/>
      <c r="G55" s="4"/>
      <c r="H55" s="5"/>
      <c r="I55" s="5"/>
    </row>
    <row r="56" spans="1:9" ht="18.75">
      <c r="A56" s="3"/>
      <c r="B56" s="3"/>
      <c r="C56" s="3"/>
      <c r="D56" s="3"/>
      <c r="E56" s="3"/>
      <c r="F56" s="4"/>
      <c r="G56" s="4"/>
      <c r="H56" s="5"/>
      <c r="I56" s="5"/>
    </row>
    <row r="57" spans="1:9" ht="18.75">
      <c r="A57" s="3"/>
      <c r="B57" s="3"/>
      <c r="C57" s="3"/>
      <c r="D57" s="3"/>
      <c r="E57" s="3"/>
      <c r="F57" s="4"/>
      <c r="G57" s="4"/>
      <c r="H57" s="5"/>
      <c r="I57" s="5"/>
    </row>
    <row r="58" spans="1:9" ht="18.75">
      <c r="A58" s="3"/>
      <c r="B58" s="3"/>
      <c r="C58" s="3"/>
      <c r="D58" s="3"/>
      <c r="E58" s="3"/>
      <c r="F58" s="4"/>
      <c r="G58" s="4"/>
      <c r="H58" s="5"/>
      <c r="I58" s="5"/>
    </row>
    <row r="59" spans="1:9" ht="18.75">
      <c r="A59" s="3"/>
      <c r="B59" s="3"/>
      <c r="C59" s="3"/>
      <c r="D59" s="3"/>
      <c r="E59" s="3"/>
      <c r="F59" s="4"/>
      <c r="G59" s="4"/>
      <c r="H59" s="5"/>
      <c r="I59" s="5"/>
    </row>
    <row r="60" spans="1:9" ht="18.75">
      <c r="A60" s="3"/>
      <c r="B60" s="3"/>
      <c r="C60" s="3"/>
      <c r="D60" s="3"/>
      <c r="E60" s="3"/>
      <c r="F60" s="4"/>
      <c r="G60" s="4"/>
      <c r="H60" s="5"/>
      <c r="I60" s="5"/>
    </row>
    <row r="61" spans="1:9" ht="18.75">
      <c r="A61" s="3"/>
      <c r="B61" s="3"/>
      <c r="C61" s="3"/>
      <c r="D61" s="3"/>
      <c r="E61" s="3"/>
      <c r="F61" s="4"/>
      <c r="G61" s="4"/>
      <c r="H61" s="5"/>
      <c r="I61" s="5"/>
    </row>
    <row r="62" spans="1:9" ht="18.75">
      <c r="A62" s="3"/>
      <c r="B62" s="3"/>
      <c r="C62" s="3"/>
      <c r="D62" s="3"/>
      <c r="E62" s="3"/>
      <c r="F62" s="4"/>
      <c r="G62" s="4"/>
      <c r="H62" s="5"/>
      <c r="I62" s="5"/>
    </row>
    <row r="63" spans="1:9" ht="18.75">
      <c r="A63" s="3"/>
      <c r="B63" s="3"/>
      <c r="C63" s="3"/>
      <c r="D63" s="3"/>
      <c r="E63" s="3"/>
      <c r="F63" s="4"/>
      <c r="G63" s="4"/>
      <c r="H63" s="5"/>
      <c r="I63" s="5"/>
    </row>
    <row r="64" spans="1:9" ht="18.75">
      <c r="A64" s="3"/>
      <c r="B64" s="3"/>
      <c r="C64" s="3"/>
      <c r="D64" s="3"/>
      <c r="E64" s="3"/>
      <c r="F64" s="4"/>
      <c r="G64" s="4"/>
      <c r="H64" s="5"/>
      <c r="I64" s="5"/>
    </row>
    <row r="65" spans="1:9" ht="18.75">
      <c r="A65" s="3"/>
      <c r="B65" s="3"/>
      <c r="C65" s="3"/>
      <c r="D65" s="3"/>
      <c r="E65" s="3"/>
      <c r="F65" s="4"/>
      <c r="G65" s="4"/>
      <c r="H65" s="5"/>
      <c r="I65" s="5"/>
    </row>
    <row r="66" spans="1:9" ht="18.75">
      <c r="A66" s="3"/>
      <c r="B66" s="3"/>
      <c r="C66" s="3"/>
      <c r="D66" s="3"/>
      <c r="E66" s="3"/>
      <c r="F66" s="4"/>
      <c r="G66" s="4"/>
      <c r="H66" s="5"/>
      <c r="I66" s="5"/>
    </row>
    <row r="67" spans="1:9" ht="18.75">
      <c r="A67" s="3"/>
      <c r="B67" s="3"/>
      <c r="C67" s="3"/>
      <c r="D67" s="3"/>
      <c r="E67" s="3"/>
      <c r="F67" s="4"/>
      <c r="G67" s="4"/>
      <c r="H67" s="5"/>
      <c r="I67" s="5"/>
    </row>
    <row r="68" spans="1:9" ht="18.75">
      <c r="A68" s="3"/>
      <c r="B68" s="3"/>
      <c r="C68" s="3"/>
      <c r="D68" s="3"/>
      <c r="E68" s="3"/>
      <c r="F68" s="4"/>
      <c r="G68" s="4"/>
      <c r="H68" s="5"/>
      <c r="I68" s="5"/>
    </row>
    <row r="69" spans="1:9" ht="18.75">
      <c r="A69" s="3"/>
      <c r="B69" s="3"/>
      <c r="C69" s="3"/>
      <c r="D69" s="3"/>
      <c r="E69" s="3"/>
      <c r="F69" s="4"/>
      <c r="G69" s="4"/>
      <c r="H69" s="5"/>
      <c r="I69" s="5"/>
    </row>
    <row r="70" spans="1:9" ht="18.75">
      <c r="A70" s="3"/>
      <c r="B70" s="3"/>
      <c r="C70" s="3"/>
      <c r="D70" s="3"/>
      <c r="E70" s="3"/>
      <c r="F70" s="4"/>
      <c r="G70" s="4"/>
      <c r="H70" s="5"/>
      <c r="I70" s="5"/>
    </row>
    <row r="71" spans="1:9" ht="18.75">
      <c r="A71" s="3"/>
      <c r="B71" s="3"/>
      <c r="C71" s="3"/>
      <c r="D71" s="3"/>
      <c r="E71" s="3"/>
      <c r="F71" s="4"/>
      <c r="G71" s="4"/>
      <c r="H71" s="5"/>
      <c r="I71" s="5"/>
    </row>
    <row r="72" spans="1:9" ht="18.75">
      <c r="A72" s="3"/>
      <c r="B72" s="3"/>
      <c r="C72" s="3"/>
      <c r="D72" s="3"/>
      <c r="E72" s="3"/>
      <c r="F72" s="4"/>
      <c r="G72" s="4"/>
      <c r="H72" s="5"/>
      <c r="I72" s="5"/>
    </row>
    <row r="73" spans="1:9" ht="18.75">
      <c r="A73" s="3"/>
      <c r="B73" s="3"/>
      <c r="C73" s="3"/>
      <c r="D73" s="3"/>
      <c r="E73" s="3"/>
      <c r="F73" s="4"/>
      <c r="G73" s="4"/>
      <c r="H73" s="5"/>
      <c r="I73" s="5"/>
    </row>
    <row r="74" spans="1:9" ht="18.75">
      <c r="A74" s="3"/>
      <c r="B74" s="3"/>
      <c r="C74" s="3"/>
      <c r="D74" s="3"/>
      <c r="E74" s="3"/>
      <c r="F74" s="4"/>
      <c r="G74" s="4"/>
      <c r="H74" s="5"/>
      <c r="I74" s="5"/>
    </row>
    <row r="75" spans="1:9" ht="18.75">
      <c r="A75" s="3"/>
      <c r="B75" s="3"/>
      <c r="C75" s="3"/>
      <c r="D75" s="3"/>
      <c r="E75" s="3"/>
      <c r="F75" s="4"/>
      <c r="G75" s="4"/>
      <c r="H75" s="5"/>
      <c r="I75" s="5"/>
    </row>
    <row r="76" spans="1:9" ht="18.75">
      <c r="A76" s="3"/>
      <c r="B76" s="3"/>
      <c r="C76" s="3"/>
      <c r="D76" s="3"/>
      <c r="E76" s="3"/>
      <c r="F76" s="4"/>
      <c r="G76" s="4"/>
      <c r="H76" s="5"/>
      <c r="I76" s="5"/>
    </row>
    <row r="77" spans="1:9" ht="18.75">
      <c r="A77" s="3"/>
      <c r="B77" s="3"/>
      <c r="C77" s="3"/>
      <c r="D77" s="3"/>
      <c r="E77" s="3"/>
      <c r="F77" s="4"/>
      <c r="G77" s="4"/>
      <c r="H77" s="5"/>
      <c r="I77" s="5"/>
    </row>
    <row r="78" spans="1:9" ht="18.75">
      <c r="A78" s="3"/>
      <c r="B78" s="3"/>
      <c r="C78" s="3"/>
      <c r="D78" s="3"/>
      <c r="E78" s="3"/>
      <c r="F78" s="4"/>
      <c r="G78" s="4"/>
      <c r="H78" s="5"/>
      <c r="I78" s="5"/>
    </row>
    <row r="79" spans="1:9" ht="18.75">
      <c r="A79" s="3"/>
      <c r="B79" s="3"/>
      <c r="C79" s="3"/>
      <c r="D79" s="3"/>
      <c r="E79" s="3"/>
      <c r="F79" s="4"/>
      <c r="G79" s="4"/>
      <c r="H79" s="5"/>
      <c r="I79" s="5"/>
    </row>
    <row r="80" spans="1:9" ht="18.75">
      <c r="A80" s="3"/>
      <c r="B80" s="3"/>
      <c r="C80" s="3"/>
      <c r="D80" s="3"/>
      <c r="E80" s="3"/>
      <c r="F80" s="4"/>
      <c r="G80" s="4"/>
      <c r="H80" s="5"/>
      <c r="I80" s="5"/>
    </row>
    <row r="81" spans="1:9" ht="18.75">
      <c r="A81" s="3"/>
      <c r="B81" s="3"/>
      <c r="C81" s="3"/>
      <c r="D81" s="3"/>
      <c r="E81" s="3"/>
      <c r="F81" s="4"/>
      <c r="G81" s="4"/>
      <c r="H81" s="5"/>
      <c r="I81" s="5"/>
    </row>
    <row r="82" spans="1:9" ht="18.75">
      <c r="A82" s="3"/>
      <c r="B82" s="3"/>
      <c r="C82" s="3"/>
      <c r="D82" s="3"/>
      <c r="E82" s="3"/>
      <c r="F82" s="4"/>
      <c r="G82" s="4"/>
      <c r="H82" s="5"/>
      <c r="I82" s="5"/>
    </row>
    <row r="83" spans="1:9" ht="18.75">
      <c r="A83" s="3"/>
      <c r="B83" s="3"/>
      <c r="C83" s="3"/>
      <c r="D83" s="3"/>
      <c r="E83" s="3"/>
      <c r="F83" s="4"/>
      <c r="G83" s="4"/>
      <c r="H83" s="5"/>
      <c r="I83" s="5"/>
    </row>
    <row r="84" spans="1:9" ht="18.75">
      <c r="A84" s="3"/>
      <c r="B84" s="3"/>
      <c r="C84" s="3"/>
      <c r="D84" s="3"/>
      <c r="E84" s="3"/>
      <c r="F84" s="4"/>
      <c r="G84" s="4"/>
      <c r="H84" s="5"/>
      <c r="I84" s="5"/>
    </row>
    <row r="85" spans="1:9" ht="18.75">
      <c r="A85" s="3"/>
      <c r="B85" s="3"/>
      <c r="C85" s="3"/>
      <c r="D85" s="3"/>
      <c r="E85" s="3"/>
      <c r="F85" s="4"/>
      <c r="G85" s="4"/>
      <c r="H85" s="5"/>
      <c r="I85" s="5"/>
    </row>
    <row r="86" spans="1:9" ht="18.75">
      <c r="A86" s="3"/>
      <c r="B86" s="3"/>
      <c r="C86" s="3"/>
      <c r="D86" s="3"/>
      <c r="E86" s="3"/>
      <c r="F86" s="4"/>
      <c r="G86" s="4"/>
      <c r="H86" s="5"/>
      <c r="I86" s="5"/>
    </row>
    <row r="87" spans="1:9" ht="18.75">
      <c r="A87" s="3"/>
      <c r="B87" s="3"/>
      <c r="C87" s="3"/>
      <c r="D87" s="3"/>
      <c r="E87" s="3"/>
      <c r="F87" s="4"/>
      <c r="G87" s="4"/>
      <c r="H87" s="5"/>
      <c r="I87" s="5"/>
    </row>
    <row r="88" spans="1:9" ht="18.75">
      <c r="A88" s="3"/>
      <c r="B88" s="3"/>
      <c r="C88" s="3"/>
      <c r="D88" s="3"/>
      <c r="E88" s="3"/>
      <c r="F88" s="4"/>
      <c r="G88" s="4"/>
      <c r="H88" s="5"/>
      <c r="I88" s="5"/>
    </row>
    <row r="89" spans="1:9" ht="18.75">
      <c r="A89" s="3"/>
      <c r="B89" s="3"/>
      <c r="C89" s="3"/>
      <c r="D89" s="3"/>
      <c r="E89" s="3"/>
      <c r="F89" s="4"/>
      <c r="G89" s="4"/>
      <c r="H89" s="5"/>
      <c r="I89" s="5"/>
    </row>
    <row r="90" spans="1:9" ht="18.75">
      <c r="A90" s="3"/>
      <c r="B90" s="3"/>
      <c r="C90" s="3"/>
      <c r="D90" s="3"/>
      <c r="E90" s="3"/>
      <c r="F90" s="4"/>
      <c r="G90" s="4"/>
      <c r="H90" s="5"/>
      <c r="I90" s="5"/>
    </row>
    <row r="91" spans="1:9" ht="18.75">
      <c r="A91" s="3"/>
      <c r="B91" s="3"/>
      <c r="C91" s="3"/>
      <c r="D91" s="3"/>
      <c r="E91" s="3"/>
      <c r="F91" s="4"/>
      <c r="G91" s="4"/>
      <c r="H91" s="5"/>
      <c r="I91" s="5"/>
    </row>
    <row r="92" spans="1:9" ht="18.75">
      <c r="A92" s="3"/>
      <c r="B92" s="3"/>
      <c r="C92" s="3"/>
      <c r="D92" s="3"/>
      <c r="E92" s="3"/>
      <c r="F92" s="4"/>
      <c r="G92" s="4"/>
      <c r="H92" s="5"/>
      <c r="I92" s="5"/>
    </row>
    <row r="93" spans="1:9" ht="18.75">
      <c r="A93" s="3"/>
      <c r="B93" s="3"/>
      <c r="C93" s="3"/>
      <c r="D93" s="3"/>
      <c r="E93" s="3"/>
      <c r="F93" s="4"/>
      <c r="G93" s="4"/>
      <c r="H93" s="5"/>
      <c r="I93" s="5"/>
    </row>
    <row r="94" spans="1:9" ht="18.75">
      <c r="A94" s="3"/>
      <c r="B94" s="3"/>
      <c r="C94" s="3"/>
      <c r="D94" s="3"/>
      <c r="E94" s="3"/>
      <c r="F94" s="4"/>
      <c r="G94" s="4"/>
      <c r="H94" s="5"/>
      <c r="I94" s="5"/>
    </row>
    <row r="95" spans="1:9" ht="18.75">
      <c r="A95" s="3"/>
      <c r="B95" s="3"/>
      <c r="C95" s="3"/>
      <c r="D95" s="3"/>
      <c r="E95" s="3"/>
      <c r="F95" s="4"/>
      <c r="G95" s="4"/>
      <c r="H95" s="5"/>
      <c r="I95" s="5"/>
    </row>
    <row r="96" spans="1:9" ht="18.75">
      <c r="A96" s="3"/>
      <c r="B96" s="3"/>
      <c r="C96" s="3"/>
      <c r="D96" s="3"/>
      <c r="E96" s="3"/>
      <c r="F96" s="4"/>
      <c r="G96" s="4"/>
      <c r="H96" s="5"/>
      <c r="I96" s="5"/>
    </row>
    <row r="97" spans="1:9" ht="18.75">
      <c r="A97" s="3"/>
      <c r="B97" s="3"/>
      <c r="C97" s="3"/>
      <c r="D97" s="3"/>
      <c r="E97" s="3"/>
      <c r="F97" s="4"/>
      <c r="G97" s="4"/>
      <c r="H97" s="5"/>
      <c r="I97" s="5"/>
    </row>
    <row r="98" spans="1:9" ht="18.75">
      <c r="A98" s="3"/>
      <c r="B98" s="3"/>
      <c r="C98" s="3"/>
      <c r="D98" s="3"/>
      <c r="E98" s="3"/>
      <c r="F98" s="4"/>
      <c r="G98" s="4"/>
      <c r="H98" s="5"/>
      <c r="I98" s="5"/>
    </row>
    <row r="99" spans="1:9" ht="18.75">
      <c r="A99" s="3"/>
      <c r="B99" s="3"/>
      <c r="C99" s="3"/>
      <c r="D99" s="3"/>
      <c r="E99" s="3"/>
      <c r="F99" s="4"/>
      <c r="G99" s="4"/>
      <c r="H99" s="5"/>
      <c r="I99" s="5"/>
    </row>
    <row r="100" spans="1:9" ht="18.75">
      <c r="A100" s="3"/>
      <c r="B100" s="3"/>
      <c r="C100" s="3"/>
      <c r="D100" s="3"/>
      <c r="E100" s="3"/>
      <c r="F100" s="4"/>
      <c r="G100" s="4"/>
      <c r="H100" s="5"/>
      <c r="I100" s="5"/>
    </row>
    <row r="101" spans="1:9" ht="18.75">
      <c r="A101" s="3"/>
      <c r="B101" s="3"/>
      <c r="C101" s="3"/>
      <c r="D101" s="3"/>
      <c r="E101" s="3"/>
      <c r="F101" s="4"/>
      <c r="G101" s="4"/>
      <c r="H101" s="5"/>
      <c r="I101" s="5"/>
    </row>
    <row r="102" spans="1:9" ht="18.75">
      <c r="A102" s="3"/>
      <c r="B102" s="3"/>
      <c r="C102" s="3"/>
      <c r="D102" s="3"/>
      <c r="E102" s="3"/>
      <c r="F102" s="4"/>
      <c r="G102" s="4"/>
      <c r="H102" s="5"/>
      <c r="I102" s="5"/>
    </row>
    <row r="103" spans="1:9" ht="18.75">
      <c r="A103" s="3"/>
      <c r="B103" s="3"/>
      <c r="C103" s="3"/>
      <c r="D103" s="3"/>
      <c r="E103" s="3"/>
      <c r="F103" s="4"/>
      <c r="G103" s="4"/>
      <c r="H103" s="5"/>
      <c r="I103" s="5"/>
    </row>
    <row r="104" spans="1:9">
      <c r="A104" s="7"/>
      <c r="B104" s="7"/>
      <c r="C104" s="7"/>
      <c r="D104" s="7"/>
      <c r="E104" s="7"/>
      <c r="F104" s="7"/>
      <c r="G104" s="7"/>
      <c r="H104" s="7"/>
      <c r="I104" s="7"/>
    </row>
    <row r="105" spans="1:9">
      <c r="A105" s="7"/>
      <c r="B105" s="7"/>
      <c r="C105" s="7"/>
      <c r="D105" s="7"/>
      <c r="E105" s="7"/>
      <c r="F105" s="7"/>
      <c r="G105" s="7"/>
      <c r="H105" s="7"/>
      <c r="I105" s="7"/>
    </row>
  </sheetData>
  <mergeCells count="1">
    <mergeCell ref="A1: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zoomScaleNormal="100" workbookViewId="0">
      <selection activeCell="A18" sqref="A18"/>
    </sheetView>
  </sheetViews>
  <sheetFormatPr defaultColWidth="8.7109375" defaultRowHeight="15"/>
  <cols>
    <col min="1" max="1" width="30.7109375" customWidth="1"/>
    <col min="2" max="2" width="51.7109375" customWidth="1"/>
    <col min="3" max="3" width="19.85546875" customWidth="1"/>
    <col min="4" max="4" width="33.85546875" customWidth="1"/>
    <col min="5" max="5" width="21.5703125" customWidth="1"/>
    <col min="6" max="6" width="34.85546875" customWidth="1"/>
    <col min="7" max="7" width="34.42578125" customWidth="1"/>
  </cols>
  <sheetData>
    <row r="1" spans="1:9" ht="18.75">
      <c r="A1" s="46" t="s">
        <v>68</v>
      </c>
      <c r="B1" s="46"/>
      <c r="C1" s="46"/>
      <c r="D1" s="46"/>
      <c r="E1" s="46"/>
      <c r="F1" s="46"/>
      <c r="G1" s="46"/>
      <c r="H1" s="46"/>
      <c r="I1" s="46"/>
    </row>
    <row r="2" spans="1:9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</row>
    <row r="3" spans="1:9" ht="18.75">
      <c r="A3" s="3" t="s">
        <v>9</v>
      </c>
      <c r="B3" s="3" t="s">
        <v>10</v>
      </c>
      <c r="C3" s="3" t="s">
        <v>11</v>
      </c>
      <c r="D3" s="3" t="s">
        <v>56</v>
      </c>
      <c r="E3" s="3">
        <v>3</v>
      </c>
      <c r="F3" s="4">
        <v>3599</v>
      </c>
      <c r="G3" s="4">
        <f>E3*F3</f>
        <v>10797</v>
      </c>
      <c r="H3" s="5"/>
      <c r="I3" s="5"/>
    </row>
    <row r="4" spans="1:9" ht="18.75">
      <c r="A4" s="3" t="s">
        <v>13</v>
      </c>
      <c r="B4" s="3" t="s">
        <v>14</v>
      </c>
      <c r="C4" s="3" t="s">
        <v>11</v>
      </c>
      <c r="D4" s="3" t="s">
        <v>15</v>
      </c>
      <c r="E4" s="3">
        <v>1</v>
      </c>
      <c r="F4" s="4">
        <v>41256.93</v>
      </c>
      <c r="G4" s="4">
        <f>E4*F4</f>
        <v>41256.93</v>
      </c>
      <c r="H4" s="5"/>
      <c r="I4" s="5"/>
    </row>
    <row r="5" spans="1:9" ht="18.75">
      <c r="A5" s="3" t="s">
        <v>16</v>
      </c>
      <c r="B5" s="3" t="s">
        <v>69</v>
      </c>
      <c r="C5" s="3" t="s">
        <v>18</v>
      </c>
      <c r="D5" s="3" t="s">
        <v>15</v>
      </c>
      <c r="E5" s="3">
        <v>1</v>
      </c>
      <c r="F5" s="4">
        <v>11306.68</v>
      </c>
      <c r="G5" s="4">
        <f>F5</f>
        <v>11306.68</v>
      </c>
      <c r="H5" s="5"/>
      <c r="I5" s="5"/>
    </row>
    <row r="6" spans="1:9" ht="18.75">
      <c r="A6" s="3" t="s">
        <v>19</v>
      </c>
      <c r="B6" s="30" t="s">
        <v>20</v>
      </c>
      <c r="C6" s="3" t="s">
        <v>21</v>
      </c>
      <c r="D6" s="3" t="s">
        <v>70</v>
      </c>
      <c r="E6" s="3">
        <v>3</v>
      </c>
      <c r="F6" s="28">
        <v>1067.8499999999999</v>
      </c>
      <c r="G6" s="4">
        <f t="shared" ref="G6:G15" si="0">E6*F6</f>
        <v>3203.5499999999997</v>
      </c>
      <c r="H6" s="5"/>
      <c r="I6" s="5"/>
    </row>
    <row r="7" spans="1:9" ht="18.75">
      <c r="A7" s="3" t="s">
        <v>23</v>
      </c>
      <c r="B7" s="3" t="s">
        <v>24</v>
      </c>
      <c r="C7" s="3" t="s">
        <v>25</v>
      </c>
      <c r="D7" s="3" t="s">
        <v>70</v>
      </c>
      <c r="E7" s="3">
        <v>3</v>
      </c>
      <c r="F7" s="4">
        <v>833.85</v>
      </c>
      <c r="G7" s="4">
        <f t="shared" si="0"/>
        <v>2501.5500000000002</v>
      </c>
      <c r="H7" s="5"/>
      <c r="I7" s="5"/>
    </row>
    <row r="8" spans="1:9" ht="18.75">
      <c r="A8" s="3" t="s">
        <v>26</v>
      </c>
      <c r="B8" s="3" t="s">
        <v>27</v>
      </c>
      <c r="C8" s="3" t="s">
        <v>28</v>
      </c>
      <c r="D8" s="3" t="s">
        <v>70</v>
      </c>
      <c r="E8" s="3">
        <v>3</v>
      </c>
      <c r="F8" s="4">
        <v>115</v>
      </c>
      <c r="G8" s="4">
        <f t="shared" si="0"/>
        <v>345</v>
      </c>
      <c r="H8" s="5"/>
      <c r="I8" s="5"/>
    </row>
    <row r="9" spans="1:9" ht="18.75">
      <c r="A9" s="3" t="s">
        <v>30</v>
      </c>
      <c r="B9" s="3" t="s">
        <v>71</v>
      </c>
      <c r="C9" s="3" t="s">
        <v>32</v>
      </c>
      <c r="D9" s="3" t="s">
        <v>15</v>
      </c>
      <c r="E9" s="3">
        <v>1</v>
      </c>
      <c r="F9" s="4">
        <v>6151.98</v>
      </c>
      <c r="G9" s="4">
        <f t="shared" si="0"/>
        <v>6151.98</v>
      </c>
      <c r="H9" s="5"/>
      <c r="I9" s="5"/>
    </row>
    <row r="10" spans="1:9" ht="18.75">
      <c r="A10" s="3" t="s">
        <v>33</v>
      </c>
      <c r="B10" s="3" t="s">
        <v>34</v>
      </c>
      <c r="C10" s="3" t="s">
        <v>35</v>
      </c>
      <c r="D10" s="3" t="s">
        <v>72</v>
      </c>
      <c r="E10" s="3">
        <v>1</v>
      </c>
      <c r="F10" s="4">
        <v>1000</v>
      </c>
      <c r="G10" s="4">
        <f t="shared" si="0"/>
        <v>1000</v>
      </c>
      <c r="H10" s="5"/>
      <c r="I10" s="5"/>
    </row>
    <row r="11" spans="1:9" ht="18.75">
      <c r="A11" s="3" t="s">
        <v>36</v>
      </c>
      <c r="B11" s="3" t="s">
        <v>34</v>
      </c>
      <c r="C11" s="3" t="s">
        <v>35</v>
      </c>
      <c r="D11" s="3" t="s">
        <v>70</v>
      </c>
      <c r="E11" s="34">
        <v>24</v>
      </c>
      <c r="F11" s="4">
        <v>70</v>
      </c>
      <c r="G11" s="4">
        <f t="shared" si="0"/>
        <v>1680</v>
      </c>
      <c r="H11" s="5"/>
      <c r="I11" s="5"/>
    </row>
    <row r="12" spans="1:9" ht="18.75">
      <c r="A12" s="3" t="s">
        <v>37</v>
      </c>
      <c r="B12" s="3" t="s">
        <v>38</v>
      </c>
      <c r="C12" s="3" t="s">
        <v>39</v>
      </c>
      <c r="D12" s="3" t="s">
        <v>72</v>
      </c>
      <c r="E12" s="6">
        <v>28</v>
      </c>
      <c r="F12" s="4">
        <v>70</v>
      </c>
      <c r="G12" s="4">
        <f t="shared" si="0"/>
        <v>1960</v>
      </c>
      <c r="H12" s="5"/>
      <c r="I12" s="5"/>
    </row>
    <row r="13" spans="1:9" ht="18.75">
      <c r="A13" s="3" t="s">
        <v>40</v>
      </c>
      <c r="B13" s="3" t="s">
        <v>34</v>
      </c>
      <c r="C13" s="3" t="s">
        <v>35</v>
      </c>
      <c r="D13" s="3" t="s">
        <v>72</v>
      </c>
      <c r="E13" s="3">
        <v>24</v>
      </c>
      <c r="F13" s="4">
        <v>10</v>
      </c>
      <c r="G13" s="4">
        <f t="shared" si="0"/>
        <v>240</v>
      </c>
      <c r="H13" s="5"/>
      <c r="I13" s="5"/>
    </row>
    <row r="14" spans="1:9" ht="18.75">
      <c r="A14" s="3" t="s">
        <v>41</v>
      </c>
      <c r="B14" s="3" t="s">
        <v>42</v>
      </c>
      <c r="C14" s="3" t="s">
        <v>35</v>
      </c>
      <c r="D14" s="3" t="s">
        <v>70</v>
      </c>
      <c r="E14" s="3">
        <v>1</v>
      </c>
      <c r="F14" s="4">
        <v>2277</v>
      </c>
      <c r="G14" s="4">
        <f t="shared" si="0"/>
        <v>2277</v>
      </c>
      <c r="H14" s="5"/>
      <c r="I14" s="5"/>
    </row>
    <row r="15" spans="1:9" ht="18.75">
      <c r="A15" s="3" t="s">
        <v>43</v>
      </c>
      <c r="B15" s="3" t="s">
        <v>44</v>
      </c>
      <c r="C15" s="3" t="s">
        <v>18</v>
      </c>
      <c r="D15" s="3" t="s">
        <v>70</v>
      </c>
      <c r="E15" s="3">
        <v>1</v>
      </c>
      <c r="F15" s="4">
        <v>13204.59</v>
      </c>
      <c r="G15" s="4">
        <f t="shared" si="0"/>
        <v>13204.59</v>
      </c>
      <c r="H15" s="5"/>
      <c r="I15" s="5"/>
    </row>
    <row r="16" spans="1:9" ht="18.75">
      <c r="A16" s="3" t="s">
        <v>45</v>
      </c>
      <c r="B16" s="3" t="s">
        <v>46</v>
      </c>
      <c r="C16" s="3" t="s">
        <v>47</v>
      </c>
      <c r="D16" s="26" t="s">
        <v>72</v>
      </c>
      <c r="E16" s="3">
        <v>1</v>
      </c>
      <c r="F16" s="4">
        <v>1934.99</v>
      </c>
      <c r="G16" s="4">
        <f>E16*F16</f>
        <v>1934.99</v>
      </c>
      <c r="H16" s="5"/>
      <c r="I16" s="5"/>
    </row>
    <row r="17" spans="1:9" ht="18.75">
      <c r="A17" s="3" t="s">
        <v>49</v>
      </c>
      <c r="B17" s="3" t="str">
        <f>Matriz!B17</f>
        <v>WorkForce ES-400 II</v>
      </c>
      <c r="C17" s="3" t="str">
        <f>Matriz!C17</f>
        <v>Epson</v>
      </c>
      <c r="D17" s="26" t="s">
        <v>72</v>
      </c>
      <c r="E17" s="3">
        <v>1</v>
      </c>
      <c r="F17" s="4">
        <f>Matriz!F17</f>
        <v>2300</v>
      </c>
      <c r="G17" s="4">
        <f>E17*F17</f>
        <v>2300</v>
      </c>
      <c r="H17" s="5"/>
      <c r="I17" s="5"/>
    </row>
    <row r="18" spans="1:9" ht="18.75">
      <c r="A18" s="3" t="s">
        <v>53</v>
      </c>
      <c r="B18" s="26" t="s">
        <v>54</v>
      </c>
      <c r="C18" s="26" t="s">
        <v>55</v>
      </c>
      <c r="D18" s="26" t="s">
        <v>56</v>
      </c>
      <c r="E18" s="3">
        <v>2</v>
      </c>
      <c r="F18" s="4">
        <v>45000</v>
      </c>
      <c r="G18" s="4">
        <f t="shared" ref="G18:G19" si="1">E18*F18</f>
        <v>90000</v>
      </c>
      <c r="H18" s="5"/>
      <c r="I18" s="5"/>
    </row>
    <row r="19" spans="1:9" ht="18.75">
      <c r="A19" s="3" t="s">
        <v>57</v>
      </c>
      <c r="B19" s="3" t="str">
        <f>Matriz!B19</f>
        <v>PPC930 USB</v>
      </c>
      <c r="C19" s="3" t="str">
        <f>Matriz!C19</f>
        <v>Gertec</v>
      </c>
      <c r="D19" s="3" t="str">
        <f>Matriz!D19</f>
        <v>Atendimento ao Cooperado</v>
      </c>
      <c r="E19" s="3">
        <v>2</v>
      </c>
      <c r="F19" s="4">
        <f>Matriz!F19</f>
        <v>780</v>
      </c>
      <c r="G19" s="4">
        <f t="shared" si="1"/>
        <v>1560</v>
      </c>
      <c r="H19" s="5"/>
      <c r="I19" s="5"/>
    </row>
    <row r="20" spans="1:9" ht="91.5">
      <c r="A20" s="3" t="s">
        <v>60</v>
      </c>
      <c r="B20" s="3" t="s">
        <v>61</v>
      </c>
      <c r="C20" s="3" t="s">
        <v>62</v>
      </c>
      <c r="D20" s="26" t="s">
        <v>22</v>
      </c>
      <c r="E20" s="3">
        <v>20</v>
      </c>
      <c r="F20" s="4">
        <v>503.61</v>
      </c>
      <c r="G20" s="4">
        <f>E20*F20</f>
        <v>10072.200000000001</v>
      </c>
      <c r="H20" s="5"/>
      <c r="I20" s="5"/>
    </row>
    <row r="21" spans="1:9" ht="30.75">
      <c r="A21" s="3" t="s">
        <v>63</v>
      </c>
      <c r="B21" s="26" t="s">
        <v>73</v>
      </c>
      <c r="C21" s="26" t="s">
        <v>65</v>
      </c>
      <c r="D21" s="26" t="s">
        <v>72</v>
      </c>
      <c r="E21" s="3">
        <v>2</v>
      </c>
      <c r="F21" s="4">
        <f>1700+5200</f>
        <v>6900</v>
      </c>
      <c r="G21" s="4">
        <f>E21*F21</f>
        <v>13800</v>
      </c>
      <c r="H21" s="5"/>
      <c r="I21" s="5"/>
    </row>
    <row r="22" spans="1:9" ht="18.75">
      <c r="A22" s="36" t="s">
        <v>67</v>
      </c>
      <c r="B22" s="36"/>
      <c r="C22" s="36"/>
      <c r="D22" s="36"/>
      <c r="E22" s="36" t="str">
        <f>"Soma Quantidade: " &amp; SUM(E3:E21)</f>
        <v>Soma Quantidade: 122</v>
      </c>
      <c r="F22" s="37" t="str">
        <f>"*Soma dos Unitários: " &amp; TEXT(SUM(F3:F21), "R$ #.##0,00")</f>
        <v>*Soma dos Unitários: R$ 138.381,48</v>
      </c>
      <c r="G22" s="37" t="str">
        <f>"Soma do Valor Total: " &amp; TEXT(SUM(G3:G21), "R$ #.##0,00")</f>
        <v>Soma do Valor Total: R$ 215.591,47</v>
      </c>
      <c r="H22" s="5"/>
      <c r="I22" s="5"/>
    </row>
    <row r="23" spans="1:9" ht="18.75">
      <c r="A23" s="3"/>
      <c r="B23" s="3"/>
      <c r="C23" s="3"/>
      <c r="D23" s="3"/>
      <c r="E23" s="3"/>
      <c r="F23" s="4"/>
      <c r="G23" s="4"/>
      <c r="H23" s="5"/>
      <c r="I23" s="5"/>
    </row>
    <row r="24" spans="1:9" ht="18.75">
      <c r="A24" s="3"/>
      <c r="B24" s="3"/>
      <c r="C24" s="3"/>
      <c r="D24" s="3"/>
      <c r="E24" s="3"/>
      <c r="F24" s="4"/>
      <c r="G24" s="4"/>
      <c r="H24" s="5"/>
      <c r="I24" s="5"/>
    </row>
    <row r="25" spans="1:9" ht="18.75">
      <c r="A25" s="3"/>
      <c r="B25" s="3"/>
      <c r="C25" s="3"/>
      <c r="D25" s="3"/>
      <c r="E25" s="3"/>
      <c r="F25" s="4"/>
      <c r="G25" s="4"/>
      <c r="H25" s="5"/>
      <c r="I25" s="5"/>
    </row>
    <row r="26" spans="1:9" ht="18.75">
      <c r="A26" s="3"/>
      <c r="B26" s="3"/>
      <c r="C26" s="3"/>
      <c r="D26" s="3"/>
      <c r="E26" s="3"/>
      <c r="F26" s="4"/>
      <c r="G26" s="4"/>
      <c r="H26" s="5"/>
      <c r="I26" s="5"/>
    </row>
    <row r="27" spans="1:9" ht="18.75">
      <c r="A27" s="3"/>
      <c r="B27" s="3"/>
      <c r="C27" s="3"/>
      <c r="D27" s="3"/>
      <c r="E27" s="3"/>
      <c r="F27" s="4"/>
      <c r="G27" s="4"/>
      <c r="H27" s="5"/>
      <c r="I27" s="5"/>
    </row>
    <row r="28" spans="1:9" ht="18.75">
      <c r="A28" s="3"/>
      <c r="B28" s="3"/>
      <c r="C28" s="3"/>
      <c r="D28" s="3"/>
      <c r="E28" s="3"/>
      <c r="F28" s="4"/>
      <c r="G28" s="4"/>
      <c r="H28" s="5"/>
      <c r="I28" s="5"/>
    </row>
    <row r="29" spans="1:9" ht="18.75">
      <c r="A29" s="3"/>
      <c r="B29" s="3"/>
      <c r="C29" s="3"/>
      <c r="D29" s="3"/>
      <c r="E29" s="3"/>
      <c r="F29" s="4"/>
      <c r="G29" s="4"/>
      <c r="H29" s="5"/>
      <c r="I29" s="5"/>
    </row>
    <row r="30" spans="1:9" ht="18.75">
      <c r="A30" s="3"/>
      <c r="B30" s="3"/>
      <c r="C30" s="3"/>
      <c r="D30" s="3"/>
      <c r="E30" s="3"/>
      <c r="F30" s="4"/>
      <c r="G30" s="4"/>
      <c r="H30" s="5"/>
      <c r="I30" s="5"/>
    </row>
    <row r="31" spans="1:9" ht="18.75">
      <c r="A31" s="3"/>
      <c r="B31" s="3"/>
      <c r="C31" s="3"/>
      <c r="D31" s="3"/>
      <c r="E31" s="3"/>
      <c r="F31" s="4"/>
      <c r="G31" s="4"/>
      <c r="H31" s="5"/>
      <c r="I31" s="5"/>
    </row>
    <row r="32" spans="1:9" ht="18.75">
      <c r="A32" s="3"/>
      <c r="B32" s="3"/>
      <c r="C32" s="3"/>
      <c r="D32" s="3"/>
      <c r="E32" s="3"/>
      <c r="F32" s="4"/>
      <c r="G32" s="4"/>
      <c r="H32" s="5"/>
      <c r="I32" s="5"/>
    </row>
    <row r="33" spans="1:9" ht="18.75">
      <c r="A33" s="3"/>
      <c r="B33" s="3"/>
      <c r="C33" s="3"/>
      <c r="D33" s="3"/>
      <c r="E33" s="3"/>
      <c r="F33" s="4"/>
      <c r="G33" s="4"/>
      <c r="H33" s="5"/>
      <c r="I33" s="5"/>
    </row>
  </sheetData>
  <mergeCells count="1">
    <mergeCell ref="A1: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3D6C-613E-4E08-95B5-D9FEAFA93B15}">
  <dimension ref="A1:I33"/>
  <sheetViews>
    <sheetView workbookViewId="0">
      <selection activeCell="E3" sqref="E3"/>
    </sheetView>
  </sheetViews>
  <sheetFormatPr defaultRowHeight="15"/>
  <cols>
    <col min="1" max="1" width="30.85546875" bestFit="1" customWidth="1"/>
    <col min="2" max="3" width="34" customWidth="1"/>
    <col min="4" max="4" width="29.140625" customWidth="1"/>
    <col min="5" max="5" width="25.28515625" customWidth="1"/>
    <col min="6" max="6" width="32.42578125" customWidth="1"/>
    <col min="7" max="7" width="34.5703125" customWidth="1"/>
  </cols>
  <sheetData>
    <row r="1" spans="1:9" ht="18.75">
      <c r="A1" s="46" t="s">
        <v>74</v>
      </c>
      <c r="B1" s="46"/>
      <c r="C1" s="46"/>
      <c r="D1" s="46"/>
      <c r="E1" s="46"/>
      <c r="F1" s="46"/>
      <c r="G1" s="46"/>
      <c r="H1" s="46"/>
      <c r="I1" s="46"/>
    </row>
    <row r="2" spans="1:9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</row>
    <row r="3" spans="1:9" ht="18.75">
      <c r="A3" s="3" t="s">
        <v>9</v>
      </c>
      <c r="B3" s="3" t="s">
        <v>10</v>
      </c>
      <c r="C3" s="3" t="s">
        <v>11</v>
      </c>
      <c r="D3" s="3" t="s">
        <v>56</v>
      </c>
      <c r="E3" s="3">
        <v>3</v>
      </c>
      <c r="F3" s="4">
        <v>3599</v>
      </c>
      <c r="G3" s="4">
        <f>E3*F3</f>
        <v>10797</v>
      </c>
      <c r="H3" s="5"/>
      <c r="I3" s="5"/>
    </row>
    <row r="4" spans="1:9" ht="18.75">
      <c r="A4" s="3" t="s">
        <v>13</v>
      </c>
      <c r="B4" s="3" t="s">
        <v>14</v>
      </c>
      <c r="C4" s="3" t="s">
        <v>11</v>
      </c>
      <c r="D4" s="3" t="s">
        <v>15</v>
      </c>
      <c r="E4" s="3">
        <v>1</v>
      </c>
      <c r="F4" s="4">
        <v>41256.93</v>
      </c>
      <c r="G4" s="4">
        <f>E4*F4</f>
        <v>41256.93</v>
      </c>
      <c r="H4" s="5"/>
      <c r="I4" s="5"/>
    </row>
    <row r="5" spans="1:9" ht="18.75">
      <c r="A5" s="3" t="s">
        <v>16</v>
      </c>
      <c r="B5" s="3" t="s">
        <v>69</v>
      </c>
      <c r="C5" s="3" t="s">
        <v>18</v>
      </c>
      <c r="D5" s="3" t="s">
        <v>15</v>
      </c>
      <c r="E5" s="3">
        <v>1</v>
      </c>
      <c r="F5" s="4">
        <v>11306.68</v>
      </c>
      <c r="G5" s="4">
        <f>F5</f>
        <v>11306.68</v>
      </c>
      <c r="H5" s="5"/>
      <c r="I5" s="5"/>
    </row>
    <row r="6" spans="1:9" ht="18.75">
      <c r="A6" s="3" t="s">
        <v>19</v>
      </c>
      <c r="B6" s="30" t="s">
        <v>20</v>
      </c>
      <c r="C6" s="27" t="s">
        <v>21</v>
      </c>
      <c r="D6" s="3" t="s">
        <v>70</v>
      </c>
      <c r="E6" s="3">
        <v>3</v>
      </c>
      <c r="F6" s="28">
        <v>1067.8499999999999</v>
      </c>
      <c r="G6" s="4">
        <f>E6*F6</f>
        <v>3203.5499999999997</v>
      </c>
      <c r="H6" s="5"/>
      <c r="I6" s="5"/>
    </row>
    <row r="7" spans="1:9" ht="18.75">
      <c r="A7" s="3" t="s">
        <v>23</v>
      </c>
      <c r="B7" s="3" t="s">
        <v>24</v>
      </c>
      <c r="C7" s="3" t="s">
        <v>25</v>
      </c>
      <c r="D7" s="3" t="s">
        <v>70</v>
      </c>
      <c r="E7" s="3">
        <v>3</v>
      </c>
      <c r="F7" s="4">
        <v>833.85</v>
      </c>
      <c r="G7" s="4">
        <f>E7*F7</f>
        <v>2501.5500000000002</v>
      </c>
      <c r="H7" s="5"/>
      <c r="I7" s="5"/>
    </row>
    <row r="8" spans="1:9" ht="18.75">
      <c r="A8" s="3" t="s">
        <v>26</v>
      </c>
      <c r="B8" s="3" t="s">
        <v>27</v>
      </c>
      <c r="C8" s="3" t="s">
        <v>28</v>
      </c>
      <c r="D8" s="3" t="s">
        <v>70</v>
      </c>
      <c r="E8" s="3">
        <v>3</v>
      </c>
      <c r="F8" s="4">
        <v>115</v>
      </c>
      <c r="G8" s="4">
        <f>E8*F8</f>
        <v>345</v>
      </c>
      <c r="H8" s="5"/>
      <c r="I8" s="5"/>
    </row>
    <row r="9" spans="1:9" ht="18.75">
      <c r="A9" s="3" t="s">
        <v>30</v>
      </c>
      <c r="B9" s="3" t="s">
        <v>71</v>
      </c>
      <c r="C9" s="3" t="s">
        <v>32</v>
      </c>
      <c r="D9" s="3" t="s">
        <v>15</v>
      </c>
      <c r="E9" s="3">
        <v>1</v>
      </c>
      <c r="F9" s="4">
        <v>6151.98</v>
      </c>
      <c r="G9" s="4">
        <f>E9*F9</f>
        <v>6151.98</v>
      </c>
      <c r="H9" s="5"/>
      <c r="I9" s="5"/>
    </row>
    <row r="10" spans="1:9" ht="18.75">
      <c r="A10" s="3" t="s">
        <v>33</v>
      </c>
      <c r="B10" s="3" t="s">
        <v>34</v>
      </c>
      <c r="C10" s="3" t="s">
        <v>35</v>
      </c>
      <c r="D10" s="3" t="s">
        <v>72</v>
      </c>
      <c r="E10" s="3">
        <v>1</v>
      </c>
      <c r="F10" s="4">
        <v>1000</v>
      </c>
      <c r="G10" s="4">
        <f>E10*F10</f>
        <v>1000</v>
      </c>
      <c r="H10" s="5"/>
      <c r="I10" s="5"/>
    </row>
    <row r="11" spans="1:9" ht="18.75">
      <c r="A11" s="3" t="s">
        <v>36</v>
      </c>
      <c r="B11" s="3" t="s">
        <v>34</v>
      </c>
      <c r="C11" s="3" t="s">
        <v>35</v>
      </c>
      <c r="D11" s="3" t="s">
        <v>70</v>
      </c>
      <c r="E11" s="34">
        <v>24</v>
      </c>
      <c r="F11" s="4">
        <v>70</v>
      </c>
      <c r="G11" s="4">
        <f>E11*F11</f>
        <v>1680</v>
      </c>
      <c r="H11" s="5"/>
      <c r="I11" s="5"/>
    </row>
    <row r="12" spans="1:9" ht="18.75">
      <c r="A12" s="3" t="s">
        <v>37</v>
      </c>
      <c r="B12" s="3" t="s">
        <v>38</v>
      </c>
      <c r="C12" s="3" t="s">
        <v>39</v>
      </c>
      <c r="D12" s="3" t="s">
        <v>72</v>
      </c>
      <c r="E12" s="6">
        <v>28</v>
      </c>
      <c r="F12" s="4">
        <v>70</v>
      </c>
      <c r="G12" s="4">
        <f>E12*F12</f>
        <v>1960</v>
      </c>
      <c r="H12" s="5"/>
      <c r="I12" s="5"/>
    </row>
    <row r="13" spans="1:9" ht="18.75">
      <c r="A13" s="3" t="s">
        <v>40</v>
      </c>
      <c r="B13" s="3" t="s">
        <v>34</v>
      </c>
      <c r="C13" s="3" t="s">
        <v>35</v>
      </c>
      <c r="D13" s="3" t="s">
        <v>72</v>
      </c>
      <c r="E13" s="3">
        <v>24</v>
      </c>
      <c r="F13" s="4">
        <v>10</v>
      </c>
      <c r="G13" s="4">
        <f t="shared" ref="G13" si="0">E13*F13</f>
        <v>240</v>
      </c>
      <c r="H13" s="5"/>
      <c r="I13" s="5"/>
    </row>
    <row r="14" spans="1:9" ht="18.75">
      <c r="A14" s="3" t="s">
        <v>41</v>
      </c>
      <c r="B14" s="3" t="s">
        <v>42</v>
      </c>
      <c r="C14" s="3" t="s">
        <v>35</v>
      </c>
      <c r="D14" s="3" t="s">
        <v>70</v>
      </c>
      <c r="E14" s="3">
        <v>1</v>
      </c>
      <c r="F14" s="4">
        <v>2277</v>
      </c>
      <c r="G14" s="4">
        <f>E14*F14</f>
        <v>2277</v>
      </c>
      <c r="H14" s="5"/>
      <c r="I14" s="5"/>
    </row>
    <row r="15" spans="1:9" ht="18.75">
      <c r="A15" s="3" t="s">
        <v>43</v>
      </c>
      <c r="B15" s="3" t="s">
        <v>44</v>
      </c>
      <c r="C15" s="3" t="s">
        <v>18</v>
      </c>
      <c r="D15" s="3" t="s">
        <v>70</v>
      </c>
      <c r="E15" s="3">
        <v>1</v>
      </c>
      <c r="F15" s="4">
        <v>13204.59</v>
      </c>
      <c r="G15" s="4">
        <f>E15*F15</f>
        <v>13204.59</v>
      </c>
      <c r="H15" s="5"/>
      <c r="I15" s="5"/>
    </row>
    <row r="16" spans="1:9" ht="18.75">
      <c r="A16" s="3" t="s">
        <v>45</v>
      </c>
      <c r="B16" s="3" t="s">
        <v>46</v>
      </c>
      <c r="C16" s="3" t="s">
        <v>47</v>
      </c>
      <c r="D16" s="26" t="s">
        <v>72</v>
      </c>
      <c r="E16" s="3">
        <v>1</v>
      </c>
      <c r="F16" s="4">
        <v>1934.99</v>
      </c>
      <c r="G16" s="4">
        <f>E16*F16</f>
        <v>1934.99</v>
      </c>
      <c r="H16" s="5"/>
      <c r="I16" s="5"/>
    </row>
    <row r="17" spans="1:9" ht="18.75">
      <c r="A17" s="3" t="s">
        <v>49</v>
      </c>
      <c r="B17" s="3" t="str">
        <f>Matriz!B17</f>
        <v>WorkForce ES-400 II</v>
      </c>
      <c r="C17" s="3" t="str">
        <f>Matriz!C17</f>
        <v>Epson</v>
      </c>
      <c r="D17" s="3" t="str">
        <f>Matriz!D17</f>
        <v>Financeiro</v>
      </c>
      <c r="E17" s="3">
        <v>1</v>
      </c>
      <c r="F17" s="4">
        <f>Matriz!F17</f>
        <v>2300</v>
      </c>
      <c r="G17" s="4">
        <f>F17*E17</f>
        <v>2300</v>
      </c>
      <c r="H17" s="5"/>
      <c r="I17" s="5"/>
    </row>
    <row r="18" spans="1:9" ht="18.75">
      <c r="A18" s="3" t="s">
        <v>53</v>
      </c>
      <c r="B18" s="26" t="s">
        <v>54</v>
      </c>
      <c r="C18" s="26" t="s">
        <v>55</v>
      </c>
      <c r="D18" s="26" t="s">
        <v>56</v>
      </c>
      <c r="E18" s="3">
        <v>2</v>
      </c>
      <c r="F18" s="4">
        <v>45000</v>
      </c>
      <c r="G18" s="4">
        <f>F18*E18</f>
        <v>90000</v>
      </c>
      <c r="H18" s="5"/>
      <c r="I18" s="5"/>
    </row>
    <row r="19" spans="1:9" ht="18.75">
      <c r="A19" s="3" t="s">
        <v>57</v>
      </c>
      <c r="B19" s="3" t="str">
        <f>Matriz!B19</f>
        <v>PPC930 USB</v>
      </c>
      <c r="C19" s="3" t="str">
        <f>Matriz!C19</f>
        <v>Gertec</v>
      </c>
      <c r="D19" s="3" t="str">
        <f>Matriz!D19</f>
        <v>Atendimento ao Cooperado</v>
      </c>
      <c r="E19" s="3">
        <v>2</v>
      </c>
      <c r="F19" s="4">
        <f>Matriz!F19</f>
        <v>780</v>
      </c>
      <c r="G19" s="4">
        <f>F19*E19</f>
        <v>1560</v>
      </c>
      <c r="H19" s="5"/>
      <c r="I19" s="5"/>
    </row>
    <row r="20" spans="1:9" ht="91.5">
      <c r="A20" s="3" t="s">
        <v>60</v>
      </c>
      <c r="B20" s="3" t="s">
        <v>61</v>
      </c>
      <c r="C20" s="3" t="s">
        <v>62</v>
      </c>
      <c r="D20" s="26" t="s">
        <v>22</v>
      </c>
      <c r="E20" s="3">
        <v>20</v>
      </c>
      <c r="F20" s="4">
        <v>503.61</v>
      </c>
      <c r="G20" s="4">
        <f>E20*F20</f>
        <v>10072.200000000001</v>
      </c>
      <c r="H20" s="5"/>
      <c r="I20" s="5"/>
    </row>
    <row r="21" spans="1:9" ht="60.75">
      <c r="A21" s="3" t="s">
        <v>63</v>
      </c>
      <c r="B21" s="26" t="s">
        <v>73</v>
      </c>
      <c r="C21" s="26" t="s">
        <v>65</v>
      </c>
      <c r="D21" s="26" t="s">
        <v>72</v>
      </c>
      <c r="E21" s="3">
        <v>2</v>
      </c>
      <c r="F21" s="4">
        <f>1700+5200</f>
        <v>6900</v>
      </c>
      <c r="G21" s="4">
        <f>E21*F21</f>
        <v>13800</v>
      </c>
      <c r="H21" s="5"/>
      <c r="I21" s="5"/>
    </row>
    <row r="22" spans="1:9" ht="18.75">
      <c r="A22" s="36" t="s">
        <v>67</v>
      </c>
      <c r="B22" s="36"/>
      <c r="C22" s="36"/>
      <c r="D22" s="36"/>
      <c r="E22" s="36" t="str">
        <f>"Soma Quantidade: " &amp; SUM(E3:E21)</f>
        <v>Soma Quantidade: 122</v>
      </c>
      <c r="F22" s="37" t="str">
        <f>"*Soma dos Unitários: " &amp; TEXT(SUM(F3:F21), "R$ #.##0,00")</f>
        <v>*Soma dos Unitários: R$ 138.381,48</v>
      </c>
      <c r="G22" s="37" t="str">
        <f>"Soma do Valor Total: " &amp; TEXT(SUM(G3:G21), "R$ #.##0,00")</f>
        <v>Soma do Valor Total: R$ 215.591,47</v>
      </c>
      <c r="H22" s="5"/>
      <c r="I22" s="5"/>
    </row>
    <row r="23" spans="1:9" ht="18.75">
      <c r="A23" s="3"/>
      <c r="B23" s="3"/>
      <c r="C23" s="3"/>
      <c r="D23" s="3"/>
      <c r="E23" s="3"/>
      <c r="F23" s="4"/>
      <c r="G23" s="4"/>
      <c r="H23" s="5"/>
      <c r="I23" s="5"/>
    </row>
    <row r="24" spans="1:9" ht="18.75">
      <c r="A24" s="3"/>
      <c r="B24" s="3"/>
      <c r="C24" s="3"/>
      <c r="D24" s="3"/>
      <c r="E24" s="3"/>
      <c r="F24" s="4"/>
      <c r="G24" s="4"/>
      <c r="H24" s="5"/>
      <c r="I24" s="5"/>
    </row>
    <row r="25" spans="1:9" ht="18.75">
      <c r="A25" s="3"/>
      <c r="B25" s="3"/>
      <c r="C25" s="3"/>
      <c r="D25" s="3"/>
      <c r="E25" s="3"/>
      <c r="F25" s="4"/>
      <c r="G25" s="4"/>
      <c r="H25" s="5"/>
      <c r="I25" s="5"/>
    </row>
    <row r="26" spans="1:9" ht="18.75">
      <c r="A26" s="3"/>
      <c r="B26" s="3"/>
      <c r="C26" s="3"/>
      <c r="D26" s="3"/>
      <c r="E26" s="3"/>
      <c r="F26" s="4"/>
      <c r="G26" s="4"/>
      <c r="H26" s="5"/>
      <c r="I26" s="5"/>
    </row>
    <row r="27" spans="1:9" ht="18.75">
      <c r="A27" s="3"/>
      <c r="B27" s="3"/>
      <c r="C27" s="3"/>
      <c r="D27" s="3"/>
      <c r="E27" s="3"/>
      <c r="F27" s="4"/>
      <c r="G27" s="4"/>
      <c r="H27" s="5"/>
      <c r="I27" s="5"/>
    </row>
    <row r="28" spans="1:9" ht="18.75">
      <c r="A28" s="3"/>
      <c r="B28" s="3"/>
      <c r="C28" s="3"/>
      <c r="D28" s="3"/>
      <c r="E28" s="3"/>
      <c r="F28" s="4"/>
      <c r="G28" s="4"/>
      <c r="H28" s="5"/>
      <c r="I28" s="5"/>
    </row>
    <row r="29" spans="1:9" ht="18.75">
      <c r="A29" s="3"/>
      <c r="B29" s="3"/>
      <c r="C29" s="3"/>
      <c r="D29" s="3"/>
      <c r="E29" s="3"/>
      <c r="F29" s="4"/>
      <c r="G29" s="4"/>
      <c r="H29" s="5"/>
      <c r="I29" s="5"/>
    </row>
    <row r="30" spans="1:9" ht="18.75">
      <c r="A30" s="3"/>
      <c r="B30" s="3"/>
      <c r="C30" s="3"/>
      <c r="D30" s="3"/>
      <c r="E30" s="3"/>
      <c r="F30" s="4"/>
      <c r="G30" s="4"/>
      <c r="H30" s="5"/>
      <c r="I30" s="5"/>
    </row>
    <row r="31" spans="1:9" ht="18.75">
      <c r="A31" s="3"/>
      <c r="B31" s="3"/>
      <c r="C31" s="3"/>
      <c r="D31" s="3"/>
      <c r="E31" s="3"/>
      <c r="F31" s="4"/>
      <c r="G31" s="4"/>
      <c r="H31" s="5"/>
      <c r="I31" s="5"/>
    </row>
    <row r="32" spans="1:9" ht="18.75">
      <c r="A32" s="3"/>
      <c r="B32" s="3"/>
      <c r="C32" s="3"/>
      <c r="D32" s="3"/>
      <c r="E32" s="3"/>
      <c r="F32" s="4"/>
      <c r="G32" s="4"/>
      <c r="H32" s="5"/>
      <c r="I32" s="5"/>
    </row>
    <row r="33" spans="1:9" ht="18.75">
      <c r="A33" s="3"/>
      <c r="B33" s="3"/>
      <c r="C33" s="3"/>
      <c r="D33" s="3"/>
      <c r="E33" s="3"/>
      <c r="F33" s="4"/>
      <c r="G33" s="4"/>
      <c r="H33" s="5"/>
      <c r="I33" s="5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E6F28-93DF-49F5-A57F-8195EB69BF2A}">
  <dimension ref="A1:I33"/>
  <sheetViews>
    <sheetView workbookViewId="0">
      <selection activeCell="E5" sqref="E5"/>
    </sheetView>
  </sheetViews>
  <sheetFormatPr defaultRowHeight="15"/>
  <cols>
    <col min="1" max="1" width="34.42578125" customWidth="1"/>
    <col min="2" max="2" width="24.85546875" customWidth="1"/>
    <col min="3" max="3" width="23.28515625" customWidth="1"/>
    <col min="4" max="4" width="28.85546875" customWidth="1"/>
    <col min="5" max="5" width="22.85546875" customWidth="1"/>
    <col min="6" max="6" width="32.7109375" customWidth="1"/>
    <col min="7" max="7" width="35.7109375" customWidth="1"/>
    <col min="8" max="8" width="6.28515625" customWidth="1"/>
  </cols>
  <sheetData>
    <row r="1" spans="1:9" ht="18.75">
      <c r="A1" s="46" t="s">
        <v>75</v>
      </c>
      <c r="B1" s="46"/>
      <c r="C1" s="46"/>
      <c r="D1" s="46"/>
      <c r="E1" s="46"/>
      <c r="F1" s="46"/>
      <c r="G1" s="46"/>
      <c r="H1" s="46"/>
      <c r="I1" s="46"/>
    </row>
    <row r="2" spans="1:9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</row>
    <row r="3" spans="1:9" ht="18.75">
      <c r="A3" s="3" t="s">
        <v>9</v>
      </c>
      <c r="B3" s="3" t="s">
        <v>10</v>
      </c>
      <c r="C3" s="3" t="s">
        <v>11</v>
      </c>
      <c r="D3" s="3" t="s">
        <v>56</v>
      </c>
      <c r="E3" s="3">
        <v>3</v>
      </c>
      <c r="F3" s="4">
        <v>3599</v>
      </c>
      <c r="G3" s="4">
        <f>E3*F3</f>
        <v>10797</v>
      </c>
      <c r="H3" s="5"/>
      <c r="I3" s="5"/>
    </row>
    <row r="4" spans="1:9" ht="18.75">
      <c r="A4" s="3" t="s">
        <v>13</v>
      </c>
      <c r="B4" s="3" t="s">
        <v>14</v>
      </c>
      <c r="C4" s="3" t="s">
        <v>11</v>
      </c>
      <c r="D4" s="3" t="s">
        <v>15</v>
      </c>
      <c r="E4" s="3">
        <v>1</v>
      </c>
      <c r="F4" s="4">
        <v>41256.93</v>
      </c>
      <c r="G4" s="4">
        <f>E4*F4</f>
        <v>41256.93</v>
      </c>
      <c r="H4" s="5"/>
      <c r="I4" s="5"/>
    </row>
    <row r="5" spans="1:9" ht="18.75">
      <c r="A5" s="3" t="s">
        <v>16</v>
      </c>
      <c r="B5" s="3" t="s">
        <v>69</v>
      </c>
      <c r="C5" s="3" t="s">
        <v>18</v>
      </c>
      <c r="D5" s="3" t="s">
        <v>15</v>
      </c>
      <c r="E5" s="3">
        <v>1</v>
      </c>
      <c r="F5" s="4">
        <v>11306.68</v>
      </c>
      <c r="G5" s="4">
        <f>F5</f>
        <v>11306.68</v>
      </c>
      <c r="H5" s="5"/>
      <c r="I5" s="5"/>
    </row>
    <row r="6" spans="1:9" ht="18.75">
      <c r="A6" s="3" t="s">
        <v>19</v>
      </c>
      <c r="B6" s="30" t="s">
        <v>20</v>
      </c>
      <c r="C6" s="27" t="s">
        <v>21</v>
      </c>
      <c r="D6" s="3" t="s">
        <v>70</v>
      </c>
      <c r="E6" s="3">
        <v>3</v>
      </c>
      <c r="F6" s="28">
        <v>1067.8499999999999</v>
      </c>
      <c r="G6" s="4">
        <f>E6*F6</f>
        <v>3203.5499999999997</v>
      </c>
      <c r="H6" s="5"/>
      <c r="I6" s="5"/>
    </row>
    <row r="7" spans="1:9" ht="18.75">
      <c r="A7" s="3" t="s">
        <v>23</v>
      </c>
      <c r="B7" s="3" t="s">
        <v>24</v>
      </c>
      <c r="C7" s="3" t="s">
        <v>25</v>
      </c>
      <c r="D7" s="3" t="s">
        <v>70</v>
      </c>
      <c r="E7" s="3">
        <v>3</v>
      </c>
      <c r="F7" s="4">
        <v>833.85</v>
      </c>
      <c r="G7" s="4">
        <f>E7*F7</f>
        <v>2501.5500000000002</v>
      </c>
      <c r="H7" s="5"/>
      <c r="I7" s="5"/>
    </row>
    <row r="8" spans="1:9" ht="18.75">
      <c r="A8" s="3" t="s">
        <v>26</v>
      </c>
      <c r="B8" s="3" t="s">
        <v>27</v>
      </c>
      <c r="C8" s="3" t="s">
        <v>28</v>
      </c>
      <c r="D8" s="3" t="s">
        <v>70</v>
      </c>
      <c r="E8" s="3">
        <v>3</v>
      </c>
      <c r="F8" s="4">
        <v>115</v>
      </c>
      <c r="G8" s="4">
        <f>E8*F8</f>
        <v>345</v>
      </c>
      <c r="H8" s="5"/>
      <c r="I8" s="5"/>
    </row>
    <row r="9" spans="1:9" ht="18.75">
      <c r="A9" s="3" t="s">
        <v>30</v>
      </c>
      <c r="B9" s="3" t="s">
        <v>71</v>
      </c>
      <c r="C9" s="3" t="s">
        <v>32</v>
      </c>
      <c r="D9" s="3" t="s">
        <v>15</v>
      </c>
      <c r="E9" s="3">
        <v>1</v>
      </c>
      <c r="F9" s="4">
        <v>6151.98</v>
      </c>
      <c r="G9" s="4">
        <f>E9*F9</f>
        <v>6151.98</v>
      </c>
      <c r="H9" s="5"/>
      <c r="I9" s="5"/>
    </row>
    <row r="10" spans="1:9" ht="18.75">
      <c r="A10" s="3" t="s">
        <v>33</v>
      </c>
      <c r="B10" s="3" t="s">
        <v>34</v>
      </c>
      <c r="C10" s="3" t="s">
        <v>35</v>
      </c>
      <c r="D10" s="3" t="s">
        <v>72</v>
      </c>
      <c r="E10" s="3">
        <v>1</v>
      </c>
      <c r="F10" s="4">
        <v>1000</v>
      </c>
      <c r="G10" s="4">
        <f>E10*F10</f>
        <v>1000</v>
      </c>
      <c r="H10" s="5"/>
      <c r="I10" s="5"/>
    </row>
    <row r="11" spans="1:9" ht="18.75">
      <c r="A11" s="3" t="s">
        <v>36</v>
      </c>
      <c r="B11" s="3" t="s">
        <v>34</v>
      </c>
      <c r="C11" s="3" t="s">
        <v>35</v>
      </c>
      <c r="D11" s="3" t="s">
        <v>70</v>
      </c>
      <c r="E11" s="34">
        <v>24</v>
      </c>
      <c r="F11" s="4">
        <v>70</v>
      </c>
      <c r="G11" s="4">
        <f>E11*F11</f>
        <v>1680</v>
      </c>
      <c r="H11" s="5"/>
      <c r="I11" s="5"/>
    </row>
    <row r="12" spans="1:9" ht="18.75">
      <c r="A12" s="3" t="s">
        <v>37</v>
      </c>
      <c r="B12" s="3" t="s">
        <v>38</v>
      </c>
      <c r="C12" s="3" t="s">
        <v>39</v>
      </c>
      <c r="D12" s="3" t="s">
        <v>72</v>
      </c>
      <c r="E12" s="6">
        <v>28</v>
      </c>
      <c r="F12" s="4">
        <v>70</v>
      </c>
      <c r="G12" s="4">
        <f>E12*F12</f>
        <v>1960</v>
      </c>
      <c r="H12" s="5"/>
      <c r="I12" s="5"/>
    </row>
    <row r="13" spans="1:9" ht="18.75">
      <c r="A13" s="3" t="s">
        <v>40</v>
      </c>
      <c r="B13" s="3" t="s">
        <v>34</v>
      </c>
      <c r="C13" s="3" t="s">
        <v>35</v>
      </c>
      <c r="D13" s="3" t="s">
        <v>72</v>
      </c>
      <c r="E13" s="3">
        <v>24</v>
      </c>
      <c r="F13" s="4">
        <v>10</v>
      </c>
      <c r="G13" s="4">
        <f t="shared" ref="G13" si="0">E13*F13</f>
        <v>240</v>
      </c>
      <c r="H13" s="5"/>
      <c r="I13" s="5"/>
    </row>
    <row r="14" spans="1:9" ht="18.75">
      <c r="A14" s="3" t="s">
        <v>41</v>
      </c>
      <c r="B14" s="3" t="s">
        <v>42</v>
      </c>
      <c r="C14" s="3" t="s">
        <v>35</v>
      </c>
      <c r="D14" s="3" t="s">
        <v>70</v>
      </c>
      <c r="E14" s="3">
        <v>1</v>
      </c>
      <c r="F14" s="4">
        <v>2277</v>
      </c>
      <c r="G14" s="4">
        <f>E14*F14</f>
        <v>2277</v>
      </c>
      <c r="H14" s="5"/>
      <c r="I14" s="5"/>
    </row>
    <row r="15" spans="1:9" ht="18.75">
      <c r="A15" s="3" t="s">
        <v>43</v>
      </c>
      <c r="B15" s="3" t="s">
        <v>44</v>
      </c>
      <c r="C15" s="3" t="s">
        <v>18</v>
      </c>
      <c r="D15" s="3" t="s">
        <v>70</v>
      </c>
      <c r="E15" s="3">
        <v>1</v>
      </c>
      <c r="F15" s="4">
        <v>13204.59</v>
      </c>
      <c r="G15" s="4">
        <f>E15*F15</f>
        <v>13204.59</v>
      </c>
      <c r="H15" s="5"/>
      <c r="I15" s="5"/>
    </row>
    <row r="16" spans="1:9" ht="18.75">
      <c r="A16" s="3" t="s">
        <v>45</v>
      </c>
      <c r="B16" s="3" t="s">
        <v>46</v>
      </c>
      <c r="C16" s="3" t="s">
        <v>47</v>
      </c>
      <c r="D16" s="26" t="s">
        <v>72</v>
      </c>
      <c r="E16" s="3">
        <v>1</v>
      </c>
      <c r="F16" s="4">
        <v>1934.99</v>
      </c>
      <c r="G16" s="4">
        <f>E16*F16</f>
        <v>1934.99</v>
      </c>
      <c r="H16" s="5"/>
      <c r="I16" s="5"/>
    </row>
    <row r="17" spans="1:9" ht="18.75">
      <c r="A17" s="3" t="s">
        <v>49</v>
      </c>
      <c r="B17" s="3" t="str">
        <f>Matriz!B17</f>
        <v>WorkForce ES-400 II</v>
      </c>
      <c r="C17" s="3" t="str">
        <f>Matriz!C17</f>
        <v>Epson</v>
      </c>
      <c r="D17" s="3" t="str">
        <f>Matriz!D17</f>
        <v>Financeiro</v>
      </c>
      <c r="E17" s="3">
        <v>1</v>
      </c>
      <c r="F17" s="4">
        <f>Matriz!F17</f>
        <v>2300</v>
      </c>
      <c r="G17" s="4">
        <f>F17*E17</f>
        <v>2300</v>
      </c>
      <c r="H17" s="5"/>
      <c r="I17" s="5"/>
    </row>
    <row r="18" spans="1:9" ht="18.75">
      <c r="A18" s="3" t="s">
        <v>53</v>
      </c>
      <c r="B18" s="3" t="s">
        <v>54</v>
      </c>
      <c r="C18" s="3" t="s">
        <v>55</v>
      </c>
      <c r="D18" s="3" t="s">
        <v>56</v>
      </c>
      <c r="E18" s="3">
        <v>2</v>
      </c>
      <c r="F18" s="4">
        <v>45000</v>
      </c>
      <c r="G18" s="4">
        <f>F18*E18</f>
        <v>90000</v>
      </c>
      <c r="H18" s="5"/>
      <c r="I18" s="5"/>
    </row>
    <row r="19" spans="1:9" ht="18.75">
      <c r="A19" s="3" t="s">
        <v>57</v>
      </c>
      <c r="B19" s="3" t="str">
        <f>Matriz!B19</f>
        <v>PPC930 USB</v>
      </c>
      <c r="C19" s="3" t="str">
        <f>Matriz!C19</f>
        <v>Gertec</v>
      </c>
      <c r="D19" s="3" t="str">
        <f>Matriz!D19</f>
        <v>Atendimento ao Cooperado</v>
      </c>
      <c r="E19" s="3">
        <v>2</v>
      </c>
      <c r="F19" s="4">
        <f>Matriz!F19</f>
        <v>780</v>
      </c>
      <c r="G19" s="4">
        <f>F19*E19</f>
        <v>1560</v>
      </c>
      <c r="H19" s="5"/>
      <c r="I19" s="5"/>
    </row>
    <row r="20" spans="1:9" ht="91.5">
      <c r="A20" s="3" t="s">
        <v>60</v>
      </c>
      <c r="B20" s="3" t="s">
        <v>61</v>
      </c>
      <c r="C20" s="3" t="s">
        <v>62</v>
      </c>
      <c r="D20" s="26" t="s">
        <v>22</v>
      </c>
      <c r="E20" s="3">
        <v>20</v>
      </c>
      <c r="F20" s="4">
        <v>503.61</v>
      </c>
      <c r="G20" s="4">
        <f>E20*F20</f>
        <v>10072.200000000001</v>
      </c>
      <c r="H20" s="5"/>
      <c r="I20" s="5"/>
    </row>
    <row r="21" spans="1:9" ht="60.75">
      <c r="A21" s="3" t="s">
        <v>63</v>
      </c>
      <c r="B21" s="26" t="s">
        <v>73</v>
      </c>
      <c r="C21" s="26" t="s">
        <v>65</v>
      </c>
      <c r="D21" s="26" t="s">
        <v>72</v>
      </c>
      <c r="E21" s="3">
        <v>2</v>
      </c>
      <c r="F21" s="4">
        <f>1700+5200</f>
        <v>6900</v>
      </c>
      <c r="G21" s="4">
        <f>E21*F21</f>
        <v>13800</v>
      </c>
      <c r="H21" s="5"/>
      <c r="I21" s="5"/>
    </row>
    <row r="22" spans="1:9" ht="18.75">
      <c r="A22" s="36" t="s">
        <v>67</v>
      </c>
      <c r="B22" s="36"/>
      <c r="C22" s="36"/>
      <c r="D22" s="36"/>
      <c r="E22" s="36" t="str">
        <f>"Soma Quantidade: " &amp; SUM(E3:E21)</f>
        <v>Soma Quantidade: 122</v>
      </c>
      <c r="F22" s="37" t="str">
        <f>"*Soma dos Unitários: " &amp; TEXT(SUM(F3:F21), "R$ #.##0,00")</f>
        <v>*Soma dos Unitários: R$ 138.381,48</v>
      </c>
      <c r="G22" s="37" t="str">
        <f>"Soma do Valor Total: " &amp; TEXT(SUM(G3:G21), "R$ #.##0,00")</f>
        <v>Soma do Valor Total: R$ 215.591,47</v>
      </c>
      <c r="H22" s="5"/>
      <c r="I22" s="5"/>
    </row>
    <row r="23" spans="1:9" ht="18.75">
      <c r="A23" s="3"/>
      <c r="B23" s="3"/>
      <c r="C23" s="3"/>
      <c r="D23" s="3"/>
      <c r="E23" s="3"/>
      <c r="F23" s="4"/>
      <c r="G23" s="4"/>
      <c r="H23" s="5"/>
      <c r="I23" s="5"/>
    </row>
    <row r="24" spans="1:9" ht="18.75">
      <c r="A24" s="3"/>
      <c r="B24" s="3"/>
      <c r="C24" s="3"/>
      <c r="D24" s="3"/>
      <c r="E24" s="3"/>
      <c r="F24" s="4"/>
      <c r="G24" s="4"/>
      <c r="H24" s="5"/>
      <c r="I24" s="5"/>
    </row>
    <row r="25" spans="1:9" ht="18.75">
      <c r="A25" s="3"/>
      <c r="B25" s="3"/>
      <c r="C25" s="3"/>
      <c r="D25" s="3"/>
      <c r="E25" s="3"/>
      <c r="F25" s="4"/>
      <c r="G25" s="4"/>
      <c r="H25" s="5"/>
      <c r="I25" s="5"/>
    </row>
    <row r="26" spans="1:9" ht="18.75">
      <c r="A26" s="3"/>
      <c r="B26" s="3"/>
      <c r="C26" s="3"/>
      <c r="D26" s="3"/>
      <c r="E26" s="3"/>
      <c r="F26" s="4"/>
      <c r="G26" s="4"/>
      <c r="H26" s="5"/>
      <c r="I26" s="5"/>
    </row>
    <row r="27" spans="1:9" ht="18.75">
      <c r="A27" s="3"/>
      <c r="B27" s="3"/>
      <c r="C27" s="3"/>
      <c r="D27" s="3"/>
      <c r="E27" s="3"/>
      <c r="F27" s="4"/>
      <c r="G27" s="4"/>
      <c r="H27" s="5"/>
      <c r="I27" s="5"/>
    </row>
    <row r="28" spans="1:9" ht="18.75">
      <c r="A28" s="3"/>
      <c r="B28" s="3"/>
      <c r="C28" s="3"/>
      <c r="D28" s="3"/>
      <c r="E28" s="3"/>
      <c r="F28" s="4"/>
      <c r="G28" s="4"/>
      <c r="H28" s="5"/>
      <c r="I28" s="5"/>
    </row>
    <row r="29" spans="1:9" ht="18.75">
      <c r="A29" s="3"/>
      <c r="B29" s="3"/>
      <c r="C29" s="3"/>
      <c r="D29" s="3"/>
      <c r="E29" s="3"/>
      <c r="F29" s="4"/>
      <c r="G29" s="4"/>
      <c r="H29" s="5"/>
      <c r="I29" s="5"/>
    </row>
    <row r="30" spans="1:9" ht="18.75">
      <c r="A30" s="3"/>
      <c r="B30" s="3"/>
      <c r="C30" s="3"/>
      <c r="D30" s="3"/>
      <c r="E30" s="3"/>
      <c r="F30" s="4"/>
      <c r="G30" s="4"/>
      <c r="H30" s="5"/>
      <c r="I30" s="5"/>
    </row>
    <row r="31" spans="1:9" ht="18.75">
      <c r="A31" s="3"/>
      <c r="B31" s="3"/>
      <c r="C31" s="3"/>
      <c r="D31" s="3"/>
      <c r="E31" s="3"/>
      <c r="F31" s="4"/>
      <c r="G31" s="4"/>
      <c r="H31" s="5"/>
      <c r="I31" s="5"/>
    </row>
    <row r="32" spans="1:9" ht="18.75">
      <c r="A32" s="3"/>
      <c r="B32" s="3"/>
      <c r="C32" s="3"/>
      <c r="D32" s="3"/>
      <c r="E32" s="3"/>
      <c r="F32" s="4"/>
      <c r="G32" s="4"/>
      <c r="H32" s="5"/>
      <c r="I32" s="5"/>
    </row>
    <row r="33" spans="1:9" ht="18.75">
      <c r="A33" s="3"/>
      <c r="B33" s="3"/>
      <c r="C33" s="3"/>
      <c r="D33" s="3"/>
      <c r="E33" s="3"/>
      <c r="F33" s="4"/>
      <c r="G33" s="4"/>
      <c r="H33" s="5"/>
      <c r="I33" s="5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5712-43B6-4755-8AF3-D66DDB7A39B9}">
  <dimension ref="A1:I33"/>
  <sheetViews>
    <sheetView workbookViewId="0">
      <selection activeCell="E5" sqref="E5"/>
    </sheetView>
  </sheetViews>
  <sheetFormatPr defaultRowHeight="15"/>
  <cols>
    <col min="1" max="1" width="32.85546875" customWidth="1"/>
    <col min="2" max="2" width="21.85546875" customWidth="1"/>
    <col min="3" max="3" width="20.140625" customWidth="1"/>
    <col min="4" max="4" width="27.7109375" customWidth="1"/>
    <col min="5" max="5" width="23" customWidth="1"/>
    <col min="6" max="6" width="34.42578125" customWidth="1"/>
    <col min="7" max="7" width="34" customWidth="1"/>
  </cols>
  <sheetData>
    <row r="1" spans="1:9" ht="18.75">
      <c r="A1" s="46" t="s">
        <v>76</v>
      </c>
      <c r="B1" s="46"/>
      <c r="C1" s="46"/>
      <c r="D1" s="46"/>
      <c r="E1" s="46"/>
      <c r="F1" s="46"/>
      <c r="G1" s="46"/>
      <c r="H1" s="46"/>
      <c r="I1" s="46"/>
    </row>
    <row r="2" spans="1:9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</row>
    <row r="3" spans="1:9" ht="18.75">
      <c r="A3" s="3" t="s">
        <v>9</v>
      </c>
      <c r="B3" s="3" t="s">
        <v>10</v>
      </c>
      <c r="C3" s="3" t="s">
        <v>11</v>
      </c>
      <c r="D3" s="3" t="s">
        <v>56</v>
      </c>
      <c r="E3" s="3">
        <v>3</v>
      </c>
      <c r="F3" s="4">
        <v>3599</v>
      </c>
      <c r="G3" s="4">
        <f>E3*F3</f>
        <v>10797</v>
      </c>
      <c r="H3" s="5"/>
      <c r="I3" s="5"/>
    </row>
    <row r="4" spans="1:9" ht="18.75">
      <c r="A4" s="3" t="s">
        <v>13</v>
      </c>
      <c r="B4" s="3" t="s">
        <v>14</v>
      </c>
      <c r="C4" s="3" t="s">
        <v>11</v>
      </c>
      <c r="D4" s="3" t="s">
        <v>15</v>
      </c>
      <c r="E4" s="3">
        <v>1</v>
      </c>
      <c r="F4" s="4">
        <v>41256.93</v>
      </c>
      <c r="G4" s="4">
        <f>E4*F4</f>
        <v>41256.93</v>
      </c>
      <c r="H4" s="5"/>
      <c r="I4" s="5"/>
    </row>
    <row r="5" spans="1:9" ht="18.75">
      <c r="A5" s="3" t="s">
        <v>16</v>
      </c>
      <c r="B5" s="3" t="s">
        <v>69</v>
      </c>
      <c r="C5" s="3" t="s">
        <v>18</v>
      </c>
      <c r="D5" s="3" t="s">
        <v>15</v>
      </c>
      <c r="E5" s="3">
        <v>1</v>
      </c>
      <c r="F5" s="4">
        <v>11306.68</v>
      </c>
      <c r="G5" s="4">
        <f>F5</f>
        <v>11306.68</v>
      </c>
      <c r="H5" s="5"/>
      <c r="I5" s="5"/>
    </row>
    <row r="6" spans="1:9" ht="18.75">
      <c r="A6" s="3" t="s">
        <v>19</v>
      </c>
      <c r="B6" s="30" t="s">
        <v>20</v>
      </c>
      <c r="C6" s="27" t="s">
        <v>21</v>
      </c>
      <c r="D6" s="3" t="s">
        <v>70</v>
      </c>
      <c r="E6" s="3">
        <v>3</v>
      </c>
      <c r="F6" s="28">
        <v>1067.8499999999999</v>
      </c>
      <c r="G6" s="4">
        <f t="shared" ref="G6:G15" si="0">E6*F6</f>
        <v>3203.5499999999997</v>
      </c>
      <c r="H6" s="5"/>
      <c r="I6" s="5"/>
    </row>
    <row r="7" spans="1:9" ht="18.75">
      <c r="A7" s="3" t="s">
        <v>23</v>
      </c>
      <c r="B7" s="3" t="s">
        <v>24</v>
      </c>
      <c r="C7" s="3" t="s">
        <v>25</v>
      </c>
      <c r="D7" s="3" t="s">
        <v>70</v>
      </c>
      <c r="E7" s="3">
        <v>3</v>
      </c>
      <c r="F7" s="4">
        <v>833.85</v>
      </c>
      <c r="G7" s="4">
        <f t="shared" si="0"/>
        <v>2501.5500000000002</v>
      </c>
      <c r="H7" s="5"/>
      <c r="I7" s="5"/>
    </row>
    <row r="8" spans="1:9" ht="18.75">
      <c r="A8" s="3" t="s">
        <v>26</v>
      </c>
      <c r="B8" s="3" t="s">
        <v>27</v>
      </c>
      <c r="C8" s="3" t="s">
        <v>28</v>
      </c>
      <c r="D8" s="3" t="s">
        <v>70</v>
      </c>
      <c r="E8" s="3">
        <v>3</v>
      </c>
      <c r="F8" s="4">
        <v>115</v>
      </c>
      <c r="G8" s="4">
        <f t="shared" si="0"/>
        <v>345</v>
      </c>
      <c r="H8" s="5"/>
      <c r="I8" s="5"/>
    </row>
    <row r="9" spans="1:9" ht="18.75">
      <c r="A9" s="3" t="s">
        <v>30</v>
      </c>
      <c r="B9" s="3" t="s">
        <v>71</v>
      </c>
      <c r="C9" s="3" t="s">
        <v>32</v>
      </c>
      <c r="D9" s="3" t="s">
        <v>15</v>
      </c>
      <c r="E9" s="3">
        <v>1</v>
      </c>
      <c r="F9" s="4">
        <v>6151.98</v>
      </c>
      <c r="G9" s="4">
        <f t="shared" si="0"/>
        <v>6151.98</v>
      </c>
      <c r="H9" s="5"/>
      <c r="I9" s="5"/>
    </row>
    <row r="10" spans="1:9" ht="18.75">
      <c r="A10" s="3" t="s">
        <v>33</v>
      </c>
      <c r="B10" s="3" t="s">
        <v>34</v>
      </c>
      <c r="C10" s="3" t="s">
        <v>35</v>
      </c>
      <c r="D10" s="3" t="s">
        <v>72</v>
      </c>
      <c r="E10" s="3">
        <v>1</v>
      </c>
      <c r="F10" s="4">
        <v>1000</v>
      </c>
      <c r="G10" s="4">
        <f t="shared" si="0"/>
        <v>1000</v>
      </c>
      <c r="H10" s="5"/>
      <c r="I10" s="5"/>
    </row>
    <row r="11" spans="1:9" ht="18.75">
      <c r="A11" s="3" t="s">
        <v>36</v>
      </c>
      <c r="B11" s="3" t="s">
        <v>34</v>
      </c>
      <c r="C11" s="3" t="s">
        <v>35</v>
      </c>
      <c r="D11" s="3" t="s">
        <v>70</v>
      </c>
      <c r="E11" s="34">
        <v>24</v>
      </c>
      <c r="F11" s="4">
        <v>70</v>
      </c>
      <c r="G11" s="4">
        <f t="shared" si="0"/>
        <v>1680</v>
      </c>
      <c r="H11" s="5"/>
      <c r="I11" s="5"/>
    </row>
    <row r="12" spans="1:9" ht="18.75">
      <c r="A12" s="3" t="s">
        <v>37</v>
      </c>
      <c r="B12" s="3" t="s">
        <v>38</v>
      </c>
      <c r="C12" s="3" t="s">
        <v>39</v>
      </c>
      <c r="D12" s="3" t="s">
        <v>72</v>
      </c>
      <c r="E12" s="6">
        <v>28</v>
      </c>
      <c r="F12" s="4">
        <v>70</v>
      </c>
      <c r="G12" s="4">
        <f t="shared" si="0"/>
        <v>1960</v>
      </c>
      <c r="H12" s="5"/>
      <c r="I12" s="5"/>
    </row>
    <row r="13" spans="1:9" ht="18.75">
      <c r="A13" s="3" t="s">
        <v>40</v>
      </c>
      <c r="B13" s="3" t="s">
        <v>34</v>
      </c>
      <c r="C13" s="3" t="s">
        <v>35</v>
      </c>
      <c r="D13" s="3" t="s">
        <v>72</v>
      </c>
      <c r="E13" s="3">
        <v>24</v>
      </c>
      <c r="F13" s="4">
        <v>10</v>
      </c>
      <c r="G13" s="4">
        <f t="shared" si="0"/>
        <v>240</v>
      </c>
      <c r="H13" s="5"/>
      <c r="I13" s="5"/>
    </row>
    <row r="14" spans="1:9" ht="18.75">
      <c r="A14" s="3" t="s">
        <v>41</v>
      </c>
      <c r="B14" s="3" t="s">
        <v>42</v>
      </c>
      <c r="C14" s="3" t="s">
        <v>35</v>
      </c>
      <c r="D14" s="3" t="s">
        <v>70</v>
      </c>
      <c r="E14" s="3">
        <v>1</v>
      </c>
      <c r="F14" s="4">
        <v>2277</v>
      </c>
      <c r="G14" s="4">
        <f t="shared" si="0"/>
        <v>2277</v>
      </c>
      <c r="H14" s="5"/>
      <c r="I14" s="5"/>
    </row>
    <row r="15" spans="1:9" ht="18.75">
      <c r="A15" s="3" t="s">
        <v>43</v>
      </c>
      <c r="B15" s="3" t="s">
        <v>44</v>
      </c>
      <c r="C15" s="3" t="s">
        <v>18</v>
      </c>
      <c r="D15" s="3" t="s">
        <v>70</v>
      </c>
      <c r="E15" s="3">
        <v>1</v>
      </c>
      <c r="F15" s="4">
        <v>13204.59</v>
      </c>
      <c r="G15" s="4">
        <f t="shared" si="0"/>
        <v>13204.59</v>
      </c>
      <c r="H15" s="5"/>
      <c r="I15" s="5"/>
    </row>
    <row r="16" spans="1:9" ht="18.75">
      <c r="A16" s="3" t="s">
        <v>45</v>
      </c>
      <c r="B16" s="3" t="s">
        <v>46</v>
      </c>
      <c r="C16" s="3" t="s">
        <v>47</v>
      </c>
      <c r="D16" s="26" t="s">
        <v>72</v>
      </c>
      <c r="E16" s="3">
        <v>1</v>
      </c>
      <c r="F16" s="4">
        <v>1934.99</v>
      </c>
      <c r="G16" s="4">
        <f>E16*F16</f>
        <v>1934.99</v>
      </c>
      <c r="H16" s="5"/>
      <c r="I16" s="5"/>
    </row>
    <row r="17" spans="1:9" ht="18.75">
      <c r="A17" s="3" t="s">
        <v>49</v>
      </c>
      <c r="B17" s="3" t="str">
        <f>Matriz!B17</f>
        <v>WorkForce ES-400 II</v>
      </c>
      <c r="C17" s="3" t="str">
        <f>Matriz!C17</f>
        <v>Epson</v>
      </c>
      <c r="D17" s="3" t="str">
        <f>Matriz!D17</f>
        <v>Financeiro</v>
      </c>
      <c r="E17" s="3">
        <v>1</v>
      </c>
      <c r="F17" s="4">
        <f>Matriz!F17</f>
        <v>2300</v>
      </c>
      <c r="G17" s="4">
        <f>E17*F17</f>
        <v>2300</v>
      </c>
      <c r="H17" s="5"/>
      <c r="I17" s="5"/>
    </row>
    <row r="18" spans="1:9" ht="18.75">
      <c r="A18" s="3" t="s">
        <v>53</v>
      </c>
      <c r="B18" s="3" t="s">
        <v>54</v>
      </c>
      <c r="C18" s="3" t="s">
        <v>55</v>
      </c>
      <c r="D18" s="3" t="s">
        <v>56</v>
      </c>
      <c r="E18" s="3">
        <v>2</v>
      </c>
      <c r="F18" s="4">
        <v>45000</v>
      </c>
      <c r="G18" s="4">
        <f>E18*F18</f>
        <v>90000</v>
      </c>
      <c r="H18" s="5"/>
      <c r="I18" s="5"/>
    </row>
    <row r="19" spans="1:9" ht="18.75">
      <c r="A19" s="3" t="s">
        <v>57</v>
      </c>
      <c r="B19" s="3" t="str">
        <f>Matriz!B19</f>
        <v>PPC930 USB</v>
      </c>
      <c r="C19" s="3" t="str">
        <f>Matriz!C19</f>
        <v>Gertec</v>
      </c>
      <c r="D19" s="3" t="str">
        <f>Matriz!D19</f>
        <v>Atendimento ao Cooperado</v>
      </c>
      <c r="E19" s="3">
        <v>2</v>
      </c>
      <c r="F19" s="4">
        <f>Matriz!F19</f>
        <v>780</v>
      </c>
      <c r="G19" s="4">
        <f>F19*E19</f>
        <v>1560</v>
      </c>
      <c r="H19" s="5"/>
      <c r="I19" s="5"/>
    </row>
    <row r="20" spans="1:9" ht="106.5">
      <c r="A20" s="3" t="s">
        <v>60</v>
      </c>
      <c r="B20" s="3" t="s">
        <v>61</v>
      </c>
      <c r="C20" s="3" t="s">
        <v>62</v>
      </c>
      <c r="D20" s="26" t="s">
        <v>22</v>
      </c>
      <c r="E20" s="3">
        <v>20</v>
      </c>
      <c r="F20" s="4">
        <v>503.61</v>
      </c>
      <c r="G20" s="4">
        <f>E20*F20</f>
        <v>10072.200000000001</v>
      </c>
      <c r="H20" s="5"/>
      <c r="I20" s="5"/>
    </row>
    <row r="21" spans="1:9" ht="76.5">
      <c r="A21" s="3" t="s">
        <v>63</v>
      </c>
      <c r="B21" s="26" t="s">
        <v>73</v>
      </c>
      <c r="C21" s="26" t="s">
        <v>65</v>
      </c>
      <c r="D21" s="26" t="s">
        <v>72</v>
      </c>
      <c r="E21" s="3">
        <v>2</v>
      </c>
      <c r="F21" s="4">
        <f>1700+5200</f>
        <v>6900</v>
      </c>
      <c r="G21" s="4">
        <f>E21*F21</f>
        <v>13800</v>
      </c>
      <c r="H21" s="5"/>
      <c r="I21" s="5"/>
    </row>
    <row r="22" spans="1:9" ht="18.75">
      <c r="A22" s="36" t="s">
        <v>67</v>
      </c>
      <c r="B22" s="36"/>
      <c r="C22" s="36"/>
      <c r="D22" s="36"/>
      <c r="E22" s="36" t="str">
        <f>"Soma Quantidade: " &amp; SUM(E3:E21)</f>
        <v>Soma Quantidade: 122</v>
      </c>
      <c r="F22" s="37" t="str">
        <f>"*Soma dos Unitários: " &amp; TEXT(SUM(F3:F21), "R$ #.##0,00")</f>
        <v>*Soma dos Unitários: R$ 138.381,48</v>
      </c>
      <c r="G22" s="37" t="str">
        <f>"Soma do Valor Total: " &amp; TEXT(SUM(G3:G21), "R$ #.##0,00")</f>
        <v>Soma do Valor Total: R$ 215.591,47</v>
      </c>
      <c r="H22" s="5"/>
      <c r="I22" s="5"/>
    </row>
    <row r="23" spans="1:9" ht="18.75">
      <c r="A23" s="3"/>
      <c r="B23" s="3"/>
      <c r="C23" s="3"/>
      <c r="D23" s="3"/>
      <c r="E23" s="3"/>
      <c r="F23" s="4"/>
      <c r="G23" s="4"/>
      <c r="H23" s="5"/>
      <c r="I23" s="5"/>
    </row>
    <row r="24" spans="1:9" ht="18.75">
      <c r="A24" s="3"/>
      <c r="B24" s="3"/>
      <c r="C24" s="3"/>
      <c r="D24" s="3"/>
      <c r="E24" s="3"/>
      <c r="F24" s="4"/>
      <c r="G24" s="4"/>
      <c r="H24" s="5"/>
      <c r="I24" s="5"/>
    </row>
    <row r="25" spans="1:9" ht="18.75">
      <c r="A25" s="3"/>
      <c r="B25" s="3"/>
      <c r="C25" s="3"/>
      <c r="D25" s="3"/>
      <c r="E25" s="3"/>
      <c r="F25" s="4"/>
      <c r="G25" s="4"/>
      <c r="H25" s="5"/>
      <c r="I25" s="5"/>
    </row>
    <row r="26" spans="1:9" ht="18.75">
      <c r="A26" s="3"/>
      <c r="B26" s="3"/>
      <c r="C26" s="3"/>
      <c r="D26" s="3"/>
      <c r="E26" s="3"/>
      <c r="F26" s="4"/>
      <c r="G26" s="4"/>
      <c r="H26" s="5"/>
      <c r="I26" s="5"/>
    </row>
    <row r="27" spans="1:9" ht="18.75">
      <c r="A27" s="3"/>
      <c r="B27" s="3"/>
      <c r="C27" s="3"/>
      <c r="D27" s="3"/>
      <c r="E27" s="3"/>
      <c r="F27" s="4"/>
      <c r="G27" s="4"/>
      <c r="H27" s="5"/>
      <c r="I27" s="5"/>
    </row>
    <row r="28" spans="1:9" ht="18.75">
      <c r="A28" s="3"/>
      <c r="B28" s="3"/>
      <c r="C28" s="3"/>
      <c r="D28" s="3"/>
      <c r="E28" s="3"/>
      <c r="F28" s="4"/>
      <c r="G28" s="4"/>
      <c r="H28" s="5"/>
      <c r="I28" s="5"/>
    </row>
    <row r="29" spans="1:9" ht="18.75">
      <c r="A29" s="3"/>
      <c r="B29" s="3"/>
      <c r="C29" s="3"/>
      <c r="D29" s="3"/>
      <c r="E29" s="3"/>
      <c r="F29" s="4"/>
      <c r="G29" s="4"/>
      <c r="H29" s="5"/>
      <c r="I29" s="5"/>
    </row>
    <row r="30" spans="1:9" ht="18.75">
      <c r="A30" s="3"/>
      <c r="B30" s="3"/>
      <c r="C30" s="3"/>
      <c r="D30" s="3"/>
      <c r="E30" s="3"/>
      <c r="F30" s="4"/>
      <c r="G30" s="4"/>
      <c r="H30" s="5"/>
      <c r="I30" s="5"/>
    </row>
    <row r="31" spans="1:9" ht="18.75">
      <c r="A31" s="3"/>
      <c r="B31" s="3"/>
      <c r="C31" s="3"/>
      <c r="D31" s="3"/>
      <c r="E31" s="3"/>
      <c r="F31" s="4"/>
      <c r="G31" s="4"/>
      <c r="H31" s="5"/>
      <c r="I31" s="5"/>
    </row>
    <row r="32" spans="1:9" ht="18.75">
      <c r="A32" s="3"/>
      <c r="B32" s="3"/>
      <c r="C32" s="3"/>
      <c r="D32" s="3"/>
      <c r="E32" s="3"/>
      <c r="F32" s="4"/>
      <c r="G32" s="4"/>
      <c r="H32" s="5"/>
      <c r="I32" s="5"/>
    </row>
    <row r="33" spans="1:9" ht="18.75">
      <c r="A33" s="3"/>
      <c r="B33" s="3"/>
      <c r="C33" s="3"/>
      <c r="D33" s="3"/>
      <c r="E33" s="3"/>
      <c r="F33" s="4"/>
      <c r="G33" s="4"/>
      <c r="H33" s="5"/>
      <c r="I33" s="5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DC39-5776-49A4-95AE-1242E0FB8FCD}">
  <dimension ref="A1:I33"/>
  <sheetViews>
    <sheetView topLeftCell="A9" workbookViewId="0">
      <selection activeCell="E3" sqref="E3"/>
    </sheetView>
  </sheetViews>
  <sheetFormatPr defaultRowHeight="15"/>
  <cols>
    <col min="1" max="1" width="32" customWidth="1"/>
    <col min="2" max="2" width="47.42578125" customWidth="1"/>
    <col min="3" max="3" width="19.28515625" customWidth="1"/>
    <col min="4" max="4" width="27.85546875" customWidth="1"/>
    <col min="5" max="5" width="26.28515625" customWidth="1"/>
    <col min="6" max="6" width="31.85546875" customWidth="1"/>
    <col min="7" max="7" width="33.5703125" customWidth="1"/>
    <col min="9" max="9" width="9.28515625" customWidth="1"/>
  </cols>
  <sheetData>
    <row r="1" spans="1:9" ht="18.75">
      <c r="A1" s="46" t="s">
        <v>77</v>
      </c>
      <c r="B1" s="46"/>
      <c r="C1" s="46"/>
      <c r="D1" s="46"/>
      <c r="E1" s="46"/>
      <c r="F1" s="46"/>
      <c r="G1" s="46"/>
      <c r="H1" s="46"/>
      <c r="I1" s="46"/>
    </row>
    <row r="2" spans="1:9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/>
    </row>
    <row r="3" spans="1:9" ht="18.75">
      <c r="A3" s="3" t="s">
        <v>9</v>
      </c>
      <c r="B3" s="3" t="s">
        <v>10</v>
      </c>
      <c r="C3" s="3" t="s">
        <v>11</v>
      </c>
      <c r="D3" s="3" t="s">
        <v>56</v>
      </c>
      <c r="E3" s="3">
        <v>3</v>
      </c>
      <c r="F3" s="4">
        <v>3599</v>
      </c>
      <c r="G3" s="4">
        <f>E3*F3</f>
        <v>10797</v>
      </c>
      <c r="H3" s="5"/>
      <c r="I3" s="5"/>
    </row>
    <row r="4" spans="1:9" ht="18.75">
      <c r="A4" s="3" t="s">
        <v>13</v>
      </c>
      <c r="B4" s="3" t="s">
        <v>14</v>
      </c>
      <c r="C4" s="3" t="s">
        <v>11</v>
      </c>
      <c r="D4" s="3" t="s">
        <v>15</v>
      </c>
      <c r="E4" s="3">
        <v>1</v>
      </c>
      <c r="F4" s="4">
        <v>41256.93</v>
      </c>
      <c r="G4" s="4">
        <f>E4*F4</f>
        <v>41256.93</v>
      </c>
      <c r="H4" s="5"/>
      <c r="I4" s="5"/>
    </row>
    <row r="5" spans="1:9" ht="18.75">
      <c r="A5" s="3" t="s">
        <v>16</v>
      </c>
      <c r="B5" s="3" t="s">
        <v>69</v>
      </c>
      <c r="C5" s="3" t="s">
        <v>18</v>
      </c>
      <c r="D5" s="3" t="s">
        <v>15</v>
      </c>
      <c r="E5" s="3">
        <v>1</v>
      </c>
      <c r="F5" s="4">
        <v>11306.68</v>
      </c>
      <c r="G5" s="4">
        <f>F5*E5</f>
        <v>11306.68</v>
      </c>
      <c r="H5" s="5"/>
      <c r="I5" s="5"/>
    </row>
    <row r="6" spans="1:9" ht="18.75">
      <c r="A6" s="3" t="s">
        <v>19</v>
      </c>
      <c r="B6" s="30" t="s">
        <v>20</v>
      </c>
      <c r="C6" s="27" t="s">
        <v>21</v>
      </c>
      <c r="D6" s="3" t="s">
        <v>70</v>
      </c>
      <c r="E6" s="3">
        <v>3</v>
      </c>
      <c r="F6" s="28">
        <v>1067.8499999999999</v>
      </c>
      <c r="G6" s="4">
        <f t="shared" ref="G6:G15" si="0">E6*F6</f>
        <v>3203.5499999999997</v>
      </c>
      <c r="H6" s="5"/>
      <c r="I6" s="5"/>
    </row>
    <row r="7" spans="1:9" ht="18.75">
      <c r="A7" s="3" t="s">
        <v>23</v>
      </c>
      <c r="B7" s="3" t="s">
        <v>24</v>
      </c>
      <c r="C7" s="3" t="s">
        <v>25</v>
      </c>
      <c r="D7" s="3" t="s">
        <v>70</v>
      </c>
      <c r="E7" s="3">
        <v>3</v>
      </c>
      <c r="F7" s="4">
        <v>833.85</v>
      </c>
      <c r="G7" s="4">
        <f t="shared" si="0"/>
        <v>2501.5500000000002</v>
      </c>
      <c r="H7" s="5"/>
      <c r="I7" s="5"/>
    </row>
    <row r="8" spans="1:9" ht="18.75">
      <c r="A8" s="3" t="s">
        <v>26</v>
      </c>
      <c r="B8" s="3" t="s">
        <v>27</v>
      </c>
      <c r="C8" s="3" t="s">
        <v>28</v>
      </c>
      <c r="D8" s="3" t="s">
        <v>70</v>
      </c>
      <c r="E8" s="3">
        <v>3</v>
      </c>
      <c r="F8" s="4">
        <v>115</v>
      </c>
      <c r="G8" s="4">
        <f t="shared" si="0"/>
        <v>345</v>
      </c>
      <c r="H8" s="5"/>
      <c r="I8" s="5"/>
    </row>
    <row r="9" spans="1:9" ht="18.75">
      <c r="A9" s="3" t="s">
        <v>30</v>
      </c>
      <c r="B9" s="3" t="s">
        <v>71</v>
      </c>
      <c r="C9" s="3" t="s">
        <v>32</v>
      </c>
      <c r="D9" s="3" t="s">
        <v>15</v>
      </c>
      <c r="E9" s="3">
        <v>1</v>
      </c>
      <c r="F9" s="4">
        <v>6151.98</v>
      </c>
      <c r="G9" s="4">
        <f t="shared" si="0"/>
        <v>6151.98</v>
      </c>
      <c r="H9" s="5"/>
      <c r="I9" s="5"/>
    </row>
    <row r="10" spans="1:9" ht="18.75">
      <c r="A10" s="3" t="s">
        <v>33</v>
      </c>
      <c r="B10" s="3" t="s">
        <v>34</v>
      </c>
      <c r="C10" s="3" t="s">
        <v>35</v>
      </c>
      <c r="D10" s="3" t="s">
        <v>72</v>
      </c>
      <c r="E10" s="3">
        <v>1</v>
      </c>
      <c r="F10" s="4">
        <v>1000</v>
      </c>
      <c r="G10" s="4">
        <f t="shared" si="0"/>
        <v>1000</v>
      </c>
      <c r="H10" s="5"/>
      <c r="I10" s="5"/>
    </row>
    <row r="11" spans="1:9" ht="18.75">
      <c r="A11" s="3" t="s">
        <v>36</v>
      </c>
      <c r="B11" s="3" t="s">
        <v>34</v>
      </c>
      <c r="C11" s="3" t="s">
        <v>35</v>
      </c>
      <c r="D11" s="3" t="s">
        <v>70</v>
      </c>
      <c r="E11" s="34">
        <v>24</v>
      </c>
      <c r="F11" s="4">
        <v>70</v>
      </c>
      <c r="G11" s="4">
        <f t="shared" si="0"/>
        <v>1680</v>
      </c>
      <c r="H11" s="5"/>
      <c r="I11" s="5"/>
    </row>
    <row r="12" spans="1:9" ht="18.75">
      <c r="A12" s="3" t="s">
        <v>37</v>
      </c>
      <c r="B12" s="3" t="s">
        <v>38</v>
      </c>
      <c r="C12" s="3" t="s">
        <v>39</v>
      </c>
      <c r="D12" s="3" t="s">
        <v>72</v>
      </c>
      <c r="E12" s="6">
        <v>28</v>
      </c>
      <c r="F12" s="4">
        <v>70</v>
      </c>
      <c r="G12" s="4">
        <f t="shared" si="0"/>
        <v>1960</v>
      </c>
      <c r="H12" s="5"/>
      <c r="I12" s="5"/>
    </row>
    <row r="13" spans="1:9" ht="18.75">
      <c r="A13" s="3" t="s">
        <v>40</v>
      </c>
      <c r="B13" s="3" t="s">
        <v>34</v>
      </c>
      <c r="C13" s="3" t="s">
        <v>35</v>
      </c>
      <c r="D13" s="3" t="s">
        <v>72</v>
      </c>
      <c r="E13" s="3">
        <v>24</v>
      </c>
      <c r="F13" s="4">
        <v>10</v>
      </c>
      <c r="G13" s="4">
        <f t="shared" si="0"/>
        <v>240</v>
      </c>
      <c r="H13" s="5"/>
      <c r="I13" s="5"/>
    </row>
    <row r="14" spans="1:9" ht="18.75">
      <c r="A14" s="3" t="s">
        <v>41</v>
      </c>
      <c r="B14" s="3" t="s">
        <v>42</v>
      </c>
      <c r="C14" s="3" t="s">
        <v>35</v>
      </c>
      <c r="D14" s="3" t="s">
        <v>70</v>
      </c>
      <c r="E14" s="3">
        <v>1</v>
      </c>
      <c r="F14" s="4">
        <v>2277</v>
      </c>
      <c r="G14" s="4">
        <f t="shared" si="0"/>
        <v>2277</v>
      </c>
      <c r="H14" s="5"/>
      <c r="I14" s="5"/>
    </row>
    <row r="15" spans="1:9" ht="18.75">
      <c r="A15" s="3" t="s">
        <v>43</v>
      </c>
      <c r="B15" s="3" t="s">
        <v>44</v>
      </c>
      <c r="C15" s="3" t="s">
        <v>18</v>
      </c>
      <c r="D15" s="3" t="s">
        <v>70</v>
      </c>
      <c r="E15" s="3">
        <v>1</v>
      </c>
      <c r="F15" s="4">
        <v>13204.59</v>
      </c>
      <c r="G15" s="4">
        <f t="shared" si="0"/>
        <v>13204.59</v>
      </c>
      <c r="H15" s="5"/>
      <c r="I15" s="5"/>
    </row>
    <row r="16" spans="1:9" ht="18.75">
      <c r="A16" s="3" t="s">
        <v>45</v>
      </c>
      <c r="B16" s="3" t="s">
        <v>46</v>
      </c>
      <c r="C16" s="3" t="s">
        <v>47</v>
      </c>
      <c r="D16" s="26" t="s">
        <v>72</v>
      </c>
      <c r="E16" s="3">
        <v>1</v>
      </c>
      <c r="F16" s="4">
        <v>1934.99</v>
      </c>
      <c r="G16" s="4">
        <f>E16*F16</f>
        <v>1934.99</v>
      </c>
      <c r="H16" s="5"/>
      <c r="I16" s="5"/>
    </row>
    <row r="17" spans="1:9" ht="18.75">
      <c r="A17" s="3" t="s">
        <v>49</v>
      </c>
      <c r="B17" s="3" t="str">
        <f>Matriz!B17</f>
        <v>WorkForce ES-400 II</v>
      </c>
      <c r="C17" s="3" t="str">
        <f>Matriz!C17</f>
        <v>Epson</v>
      </c>
      <c r="D17" s="3" t="str">
        <f>Matriz!D17</f>
        <v>Financeiro</v>
      </c>
      <c r="E17" s="3">
        <v>1</v>
      </c>
      <c r="F17" s="4">
        <f>Matriz!F17</f>
        <v>2300</v>
      </c>
      <c r="G17" s="4">
        <f>E17*F17</f>
        <v>2300</v>
      </c>
      <c r="H17" s="5"/>
      <c r="I17" s="5"/>
    </row>
    <row r="18" spans="1:9" ht="18.75">
      <c r="A18" s="3" t="s">
        <v>53</v>
      </c>
      <c r="B18" s="3" t="s">
        <v>54</v>
      </c>
      <c r="C18" s="3" t="s">
        <v>55</v>
      </c>
      <c r="D18" s="3" t="s">
        <v>56</v>
      </c>
      <c r="E18" s="3">
        <v>2</v>
      </c>
      <c r="F18" s="4">
        <v>45000</v>
      </c>
      <c r="G18" s="4">
        <f>E18*F18</f>
        <v>90000</v>
      </c>
      <c r="H18" s="5"/>
      <c r="I18" s="5"/>
    </row>
    <row r="19" spans="1:9" ht="18.75">
      <c r="A19" s="3" t="s">
        <v>57</v>
      </c>
      <c r="B19" s="3" t="str">
        <f>Matriz!B19</f>
        <v>PPC930 USB</v>
      </c>
      <c r="C19" s="3" t="str">
        <f>Matriz!C19</f>
        <v>Gertec</v>
      </c>
      <c r="D19" s="3" t="str">
        <f>Matriz!D19</f>
        <v>Atendimento ao Cooperado</v>
      </c>
      <c r="E19" s="3">
        <v>2</v>
      </c>
      <c r="F19" s="4">
        <f>Matriz!F19</f>
        <v>780</v>
      </c>
      <c r="G19" s="4">
        <f>F19*E19</f>
        <v>1560</v>
      </c>
      <c r="H19" s="5"/>
      <c r="I19" s="5"/>
    </row>
    <row r="20" spans="1:9" ht="91.5">
      <c r="A20" s="3" t="s">
        <v>60</v>
      </c>
      <c r="B20" s="3" t="s">
        <v>61</v>
      </c>
      <c r="C20" s="3" t="s">
        <v>62</v>
      </c>
      <c r="D20" s="26" t="s">
        <v>22</v>
      </c>
      <c r="E20" s="3">
        <v>20</v>
      </c>
      <c r="F20" s="4">
        <v>503.61</v>
      </c>
      <c r="G20" s="4">
        <f>E20*F20</f>
        <v>10072.200000000001</v>
      </c>
      <c r="H20" s="5"/>
      <c r="I20" s="5"/>
    </row>
    <row r="21" spans="1:9" ht="30.75">
      <c r="A21" s="3" t="s">
        <v>63</v>
      </c>
      <c r="B21" s="26" t="s">
        <v>73</v>
      </c>
      <c r="C21" s="26" t="s">
        <v>65</v>
      </c>
      <c r="D21" s="26" t="s">
        <v>72</v>
      </c>
      <c r="E21" s="3">
        <v>2</v>
      </c>
      <c r="F21" s="4">
        <f>1700+5200</f>
        <v>6900</v>
      </c>
      <c r="G21" s="4">
        <f>E21*F21</f>
        <v>13800</v>
      </c>
      <c r="H21" s="5"/>
      <c r="I21" s="5"/>
    </row>
    <row r="22" spans="1:9" ht="18.75">
      <c r="A22" s="36" t="s">
        <v>67</v>
      </c>
      <c r="B22" s="36"/>
      <c r="C22" s="36"/>
      <c r="D22" s="36"/>
      <c r="E22" s="36" t="str">
        <f>"Soma Quantidade: " &amp; SUM(E3:E21)</f>
        <v>Soma Quantidade: 122</v>
      </c>
      <c r="F22" s="37" t="str">
        <f>"*Soma dos Unitários: " &amp; TEXT(SUM(F3:F21), "R$ #.##0,00")</f>
        <v>*Soma dos Unitários: R$ 138.381,48</v>
      </c>
      <c r="G22" s="37" t="str">
        <f>"Soma do Valor Total: " &amp; TEXT(SUM(G3:G21), "R$ #.##0,00")</f>
        <v>Soma do Valor Total: R$ 215.591,47</v>
      </c>
      <c r="H22" s="5"/>
      <c r="I22" s="5"/>
    </row>
    <row r="23" spans="1:9" ht="18.75">
      <c r="A23" s="3"/>
      <c r="B23" s="3"/>
      <c r="C23" s="3"/>
      <c r="D23" s="3"/>
      <c r="E23" s="3"/>
      <c r="F23" s="4"/>
      <c r="G23" s="4"/>
      <c r="H23" s="5"/>
      <c r="I23" s="5"/>
    </row>
    <row r="24" spans="1:9" ht="18.75">
      <c r="A24" s="3"/>
      <c r="B24" s="3"/>
      <c r="C24" s="3"/>
      <c r="D24" s="3"/>
      <c r="E24" s="3"/>
      <c r="F24" s="4"/>
      <c r="G24" s="4"/>
      <c r="H24" s="5"/>
      <c r="I24" s="5"/>
    </row>
    <row r="25" spans="1:9" ht="18.75">
      <c r="A25" s="3"/>
      <c r="B25" s="3"/>
      <c r="C25" s="3"/>
      <c r="D25" s="3"/>
      <c r="E25" s="3"/>
      <c r="F25" s="4"/>
      <c r="G25" s="4"/>
      <c r="H25" s="5"/>
      <c r="I25" s="5"/>
    </row>
    <row r="26" spans="1:9" ht="18.75">
      <c r="A26" s="3"/>
      <c r="B26" s="3"/>
      <c r="C26" s="3"/>
      <c r="D26" s="3"/>
      <c r="E26" s="3"/>
      <c r="F26" s="4"/>
      <c r="G26" s="4"/>
      <c r="H26" s="5"/>
      <c r="I26" s="5"/>
    </row>
    <row r="27" spans="1:9" ht="18.75">
      <c r="A27" s="3"/>
      <c r="B27" s="3"/>
      <c r="C27" s="3"/>
      <c r="D27" s="3"/>
      <c r="E27" s="3"/>
      <c r="F27" s="4"/>
      <c r="G27" s="4"/>
      <c r="H27" s="5"/>
      <c r="I27" s="5"/>
    </row>
    <row r="28" spans="1:9" ht="18.75">
      <c r="A28" s="3"/>
      <c r="B28" s="3"/>
      <c r="C28" s="3"/>
      <c r="D28" s="3"/>
      <c r="E28" s="3"/>
      <c r="F28" s="4"/>
      <c r="G28" s="4"/>
      <c r="H28" s="5"/>
      <c r="I28" s="5"/>
    </row>
    <row r="29" spans="1:9" ht="18.75">
      <c r="A29" s="3"/>
      <c r="B29" s="3"/>
      <c r="C29" s="3"/>
      <c r="D29" s="3"/>
      <c r="E29" s="3"/>
      <c r="F29" s="4"/>
      <c r="G29" s="4"/>
      <c r="H29" s="5"/>
      <c r="I29" s="5"/>
    </row>
    <row r="30" spans="1:9" ht="18.75">
      <c r="A30" s="3"/>
      <c r="B30" s="3"/>
      <c r="C30" s="3"/>
      <c r="D30" s="3"/>
      <c r="E30" s="3"/>
      <c r="F30" s="4"/>
      <c r="G30" s="4"/>
      <c r="H30" s="5"/>
      <c r="I30" s="5"/>
    </row>
    <row r="31" spans="1:9" ht="18.75">
      <c r="A31" s="3"/>
      <c r="B31" s="3"/>
      <c r="C31" s="3"/>
      <c r="D31" s="3"/>
      <c r="E31" s="3"/>
      <c r="F31" s="4"/>
      <c r="G31" s="4"/>
      <c r="H31" s="5"/>
      <c r="I31" s="5"/>
    </row>
    <row r="32" spans="1:9" ht="18.75">
      <c r="A32" s="3"/>
      <c r="B32" s="3"/>
      <c r="C32" s="3"/>
      <c r="D32" s="3"/>
      <c r="E32" s="3"/>
      <c r="F32" s="4"/>
      <c r="G32" s="4"/>
      <c r="H32" s="5"/>
      <c r="I32" s="5"/>
    </row>
    <row r="33" spans="1:9" ht="18.75">
      <c r="A33" s="3"/>
      <c r="B33" s="3"/>
      <c r="C33" s="3"/>
      <c r="D33" s="3"/>
      <c r="E33" s="3"/>
      <c r="F33" s="4"/>
      <c r="G33" s="4"/>
      <c r="H33" s="5"/>
      <c r="I33" s="5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tabSelected="1" zoomScaleNormal="100" workbookViewId="0">
      <selection activeCell="F3" sqref="F3"/>
    </sheetView>
  </sheetViews>
  <sheetFormatPr defaultColWidth="8.7109375" defaultRowHeight="15"/>
  <cols>
    <col min="1" max="1" width="43.5703125" bestFit="1" customWidth="1"/>
    <col min="2" max="2" width="19.140625" customWidth="1"/>
    <col min="3" max="3" width="16.5703125" customWidth="1"/>
    <col min="4" max="4" width="14.28515625" customWidth="1"/>
    <col min="5" max="5" width="32.85546875" customWidth="1"/>
    <col min="6" max="6" width="16.85546875" customWidth="1"/>
  </cols>
  <sheetData>
    <row r="1" spans="1:6" ht="18.75">
      <c r="A1" s="47" t="s">
        <v>78</v>
      </c>
      <c r="B1" s="47"/>
      <c r="C1" s="47"/>
      <c r="D1" s="47"/>
      <c r="E1" s="47"/>
      <c r="F1" s="47"/>
    </row>
    <row r="2" spans="1:6" ht="15.75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</row>
    <row r="3" spans="1:6">
      <c r="A3" s="3" t="s">
        <v>85</v>
      </c>
      <c r="B3" s="3" t="s">
        <v>86</v>
      </c>
      <c r="C3" s="8" t="s">
        <v>87</v>
      </c>
      <c r="D3" s="3" t="s">
        <v>88</v>
      </c>
      <c r="E3" s="3" t="s">
        <v>89</v>
      </c>
      <c r="F3" s="3"/>
    </row>
    <row r="4" spans="1:6">
      <c r="A4" s="3" t="s">
        <v>90</v>
      </c>
      <c r="B4" s="3" t="s">
        <v>91</v>
      </c>
      <c r="C4" s="8" t="s">
        <v>87</v>
      </c>
      <c r="D4" s="3" t="s">
        <v>88</v>
      </c>
      <c r="E4" s="3" t="s">
        <v>89</v>
      </c>
      <c r="F4" s="3"/>
    </row>
    <row r="5" spans="1:6">
      <c r="A5" s="3" t="s">
        <v>92</v>
      </c>
      <c r="B5" s="3" t="s">
        <v>93</v>
      </c>
      <c r="C5" s="8" t="s">
        <v>87</v>
      </c>
      <c r="D5" s="3" t="s">
        <v>88</v>
      </c>
      <c r="E5" s="3" t="s">
        <v>89</v>
      </c>
    </row>
    <row r="6" spans="1:6">
      <c r="A6" s="3" t="s">
        <v>94</v>
      </c>
      <c r="B6" s="3" t="s">
        <v>95</v>
      </c>
      <c r="C6" s="8" t="s">
        <v>87</v>
      </c>
      <c r="D6" s="3" t="s">
        <v>88</v>
      </c>
      <c r="E6" s="3" t="s">
        <v>89</v>
      </c>
    </row>
    <row r="7" spans="1:6">
      <c r="A7" s="3" t="s">
        <v>96</v>
      </c>
      <c r="B7" s="3" t="s">
        <v>97</v>
      </c>
      <c r="C7" s="8" t="s">
        <v>87</v>
      </c>
      <c r="D7" s="3" t="s">
        <v>88</v>
      </c>
      <c r="E7" s="3" t="s">
        <v>89</v>
      </c>
    </row>
    <row r="8" spans="1:6">
      <c r="A8" s="3" t="s">
        <v>98</v>
      </c>
      <c r="B8" s="3" t="s">
        <v>99</v>
      </c>
      <c r="C8" s="8" t="s">
        <v>87</v>
      </c>
      <c r="D8" s="3" t="s">
        <v>88</v>
      </c>
      <c r="E8" s="3" t="s">
        <v>89</v>
      </c>
    </row>
    <row r="9" spans="1:6">
      <c r="A9" s="3" t="s">
        <v>100</v>
      </c>
      <c r="B9" s="3" t="s">
        <v>101</v>
      </c>
      <c r="C9" s="8" t="s">
        <v>87</v>
      </c>
      <c r="D9" s="3" t="s">
        <v>88</v>
      </c>
      <c r="E9" s="3" t="s">
        <v>89</v>
      </c>
    </row>
    <row r="10" spans="1:6">
      <c r="A10" s="3" t="s">
        <v>102</v>
      </c>
      <c r="B10" s="3" t="s">
        <v>103</v>
      </c>
      <c r="C10" s="8" t="s">
        <v>87</v>
      </c>
      <c r="D10" s="3" t="s">
        <v>88</v>
      </c>
      <c r="E10" s="3" t="s">
        <v>89</v>
      </c>
    </row>
    <row r="11" spans="1:6">
      <c r="A11" s="3" t="s">
        <v>104</v>
      </c>
      <c r="B11" s="3" t="s">
        <v>105</v>
      </c>
      <c r="C11" s="8" t="s">
        <v>87</v>
      </c>
      <c r="D11" s="3" t="s">
        <v>88</v>
      </c>
      <c r="E11" s="3" t="s">
        <v>89</v>
      </c>
    </row>
    <row r="12" spans="1:6">
      <c r="A12" s="3" t="s">
        <v>106</v>
      </c>
      <c r="B12" s="3" t="s">
        <v>107</v>
      </c>
      <c r="C12" s="8" t="s">
        <v>87</v>
      </c>
      <c r="D12" s="3" t="s">
        <v>88</v>
      </c>
      <c r="E12" s="3" t="s">
        <v>89</v>
      </c>
    </row>
    <row r="13" spans="1:6">
      <c r="A13" s="3" t="s">
        <v>108</v>
      </c>
      <c r="B13" s="3" t="s">
        <v>109</v>
      </c>
      <c r="C13" s="8" t="s">
        <v>87</v>
      </c>
      <c r="D13" s="3" t="s">
        <v>88</v>
      </c>
      <c r="E13" s="3" t="s">
        <v>89</v>
      </c>
    </row>
    <row r="14" spans="1:6">
      <c r="A14" s="3" t="s">
        <v>110</v>
      </c>
      <c r="B14" s="3" t="s">
        <v>111</v>
      </c>
      <c r="C14" s="8" t="s">
        <v>87</v>
      </c>
      <c r="D14" s="3" t="s">
        <v>88</v>
      </c>
      <c r="E14" s="3" t="s">
        <v>89</v>
      </c>
    </row>
    <row r="15" spans="1:6">
      <c r="A15" s="3" t="s">
        <v>112</v>
      </c>
      <c r="B15" s="3" t="s">
        <v>113</v>
      </c>
      <c r="C15" s="8" t="s">
        <v>87</v>
      </c>
      <c r="D15" s="3" t="s">
        <v>88</v>
      </c>
      <c r="E15" s="3" t="s">
        <v>89</v>
      </c>
    </row>
    <row r="16" spans="1:6">
      <c r="A16" s="3" t="s">
        <v>114</v>
      </c>
      <c r="B16" s="3" t="s">
        <v>115</v>
      </c>
      <c r="C16" s="8" t="s">
        <v>87</v>
      </c>
      <c r="D16" s="3" t="s">
        <v>88</v>
      </c>
      <c r="E16" s="3" t="s">
        <v>89</v>
      </c>
    </row>
    <row r="17" spans="1:5">
      <c r="A17" s="3" t="s">
        <v>116</v>
      </c>
      <c r="B17" s="3" t="s">
        <v>117</v>
      </c>
      <c r="C17" s="8" t="s">
        <v>87</v>
      </c>
      <c r="D17" s="3" t="s">
        <v>88</v>
      </c>
      <c r="E17" s="3" t="s">
        <v>89</v>
      </c>
    </row>
    <row r="18" spans="1:5">
      <c r="A18" s="3" t="s">
        <v>118</v>
      </c>
      <c r="B18" s="3" t="s">
        <v>119</v>
      </c>
      <c r="C18" s="8" t="s">
        <v>87</v>
      </c>
      <c r="D18" s="3" t="s">
        <v>88</v>
      </c>
      <c r="E18" s="3" t="s">
        <v>89</v>
      </c>
    </row>
    <row r="19" spans="1:5">
      <c r="A19" s="3" t="s">
        <v>120</v>
      </c>
      <c r="B19" s="3" t="s">
        <v>121</v>
      </c>
      <c r="C19" s="8" t="s">
        <v>87</v>
      </c>
      <c r="D19" s="3" t="s">
        <v>88</v>
      </c>
      <c r="E19" s="3" t="s">
        <v>89</v>
      </c>
    </row>
    <row r="20" spans="1:5">
      <c r="A20" s="3" t="s">
        <v>122</v>
      </c>
      <c r="B20" s="3" t="s">
        <v>123</v>
      </c>
      <c r="C20" s="8" t="s">
        <v>87</v>
      </c>
      <c r="D20" s="3" t="s">
        <v>88</v>
      </c>
      <c r="E20" s="3" t="s">
        <v>89</v>
      </c>
    </row>
    <row r="21" spans="1:5">
      <c r="A21" s="3" t="s">
        <v>124</v>
      </c>
      <c r="B21" s="3" t="s">
        <v>125</v>
      </c>
      <c r="C21" s="8" t="s">
        <v>87</v>
      </c>
      <c r="D21" s="3" t="s">
        <v>88</v>
      </c>
      <c r="E21" s="3" t="s">
        <v>89</v>
      </c>
    </row>
    <row r="22" spans="1:5">
      <c r="A22" s="3" t="s">
        <v>126</v>
      </c>
      <c r="B22" s="3" t="s">
        <v>127</v>
      </c>
      <c r="C22" s="8" t="s">
        <v>87</v>
      </c>
      <c r="D22" s="3" t="s">
        <v>88</v>
      </c>
      <c r="E22" s="3" t="s">
        <v>89</v>
      </c>
    </row>
    <row r="23" spans="1:5">
      <c r="A23" s="3" t="s">
        <v>128</v>
      </c>
      <c r="B23" s="3" t="s">
        <v>129</v>
      </c>
      <c r="C23" s="8" t="s">
        <v>87</v>
      </c>
      <c r="D23" s="3" t="s">
        <v>88</v>
      </c>
      <c r="E23" s="3" t="s">
        <v>89</v>
      </c>
    </row>
    <row r="24" spans="1:5">
      <c r="A24" s="3" t="s">
        <v>130</v>
      </c>
      <c r="B24" s="3" t="s">
        <v>131</v>
      </c>
      <c r="C24" s="8" t="s">
        <v>87</v>
      </c>
      <c r="D24" s="3" t="s">
        <v>88</v>
      </c>
      <c r="E24" s="3" t="s">
        <v>89</v>
      </c>
    </row>
    <row r="25" spans="1:5">
      <c r="A25" s="3" t="s">
        <v>132</v>
      </c>
      <c r="B25" s="3" t="s">
        <v>133</v>
      </c>
      <c r="C25" s="8" t="s">
        <v>87</v>
      </c>
      <c r="D25" s="3" t="s">
        <v>88</v>
      </c>
      <c r="E25" s="3" t="s">
        <v>89</v>
      </c>
    </row>
    <row r="26" spans="1:5">
      <c r="A26" s="3" t="s">
        <v>134</v>
      </c>
      <c r="B26" s="3" t="s">
        <v>135</v>
      </c>
      <c r="C26" s="8" t="s">
        <v>87</v>
      </c>
      <c r="D26" s="3" t="s">
        <v>88</v>
      </c>
      <c r="E26" s="3" t="s">
        <v>89</v>
      </c>
    </row>
    <row r="27" spans="1:5">
      <c r="A27" s="3" t="s">
        <v>136</v>
      </c>
      <c r="B27" s="3" t="s">
        <v>137</v>
      </c>
      <c r="C27" s="8" t="s">
        <v>87</v>
      </c>
      <c r="D27" s="3" t="s">
        <v>88</v>
      </c>
      <c r="E27" s="3" t="s">
        <v>89</v>
      </c>
    </row>
    <row r="28" spans="1:5">
      <c r="A28" s="3" t="s">
        <v>138</v>
      </c>
      <c r="B28" s="3" t="s">
        <v>139</v>
      </c>
      <c r="C28" s="8" t="s">
        <v>87</v>
      </c>
      <c r="D28" s="3" t="s">
        <v>140</v>
      </c>
      <c r="E28" s="3" t="s">
        <v>141</v>
      </c>
    </row>
    <row r="29" spans="1:5">
      <c r="A29" s="3" t="s">
        <v>142</v>
      </c>
      <c r="B29" s="3" t="s">
        <v>143</v>
      </c>
      <c r="C29" s="8" t="s">
        <v>87</v>
      </c>
      <c r="D29" s="3" t="s">
        <v>140</v>
      </c>
      <c r="E29" s="3" t="s">
        <v>141</v>
      </c>
    </row>
    <row r="30" spans="1:5">
      <c r="A30" s="3" t="s">
        <v>144</v>
      </c>
      <c r="B30" s="3" t="s">
        <v>145</v>
      </c>
      <c r="C30" s="8" t="s">
        <v>87</v>
      </c>
      <c r="D30" s="3" t="s">
        <v>140</v>
      </c>
      <c r="E30" s="3" t="s">
        <v>141</v>
      </c>
    </row>
    <row r="31" spans="1:5">
      <c r="A31" s="3" t="s">
        <v>146</v>
      </c>
      <c r="B31" s="3" t="s">
        <v>147</v>
      </c>
      <c r="C31" s="8" t="s">
        <v>87</v>
      </c>
      <c r="D31" s="3" t="s">
        <v>140</v>
      </c>
      <c r="E31" s="3" t="s">
        <v>141</v>
      </c>
    </row>
    <row r="32" spans="1:5">
      <c r="A32" s="3" t="s">
        <v>148</v>
      </c>
      <c r="B32" s="3" t="s">
        <v>149</v>
      </c>
      <c r="C32" s="8" t="s">
        <v>87</v>
      </c>
      <c r="D32" s="3" t="s">
        <v>140</v>
      </c>
      <c r="E32" s="3" t="s">
        <v>141</v>
      </c>
    </row>
    <row r="33" spans="1:5">
      <c r="A33" s="3" t="s">
        <v>150</v>
      </c>
      <c r="B33" s="3" t="s">
        <v>151</v>
      </c>
      <c r="C33" s="8" t="s">
        <v>87</v>
      </c>
      <c r="D33" s="3" t="s">
        <v>140</v>
      </c>
      <c r="E33" s="3" t="s">
        <v>141</v>
      </c>
    </row>
    <row r="34" spans="1:5">
      <c r="A34" s="3" t="s">
        <v>152</v>
      </c>
      <c r="B34" s="3" t="s">
        <v>153</v>
      </c>
      <c r="C34" s="8" t="s">
        <v>87</v>
      </c>
      <c r="D34" s="3" t="s">
        <v>154</v>
      </c>
      <c r="E34" s="3" t="s">
        <v>155</v>
      </c>
    </row>
    <row r="35" spans="1:5">
      <c r="A35" s="3" t="s">
        <v>156</v>
      </c>
      <c r="B35" s="3" t="s">
        <v>157</v>
      </c>
      <c r="C35" s="8" t="s">
        <v>87</v>
      </c>
      <c r="D35" s="3" t="s">
        <v>154</v>
      </c>
      <c r="E35" s="3" t="s">
        <v>155</v>
      </c>
    </row>
    <row r="36" spans="1:5">
      <c r="A36" s="3" t="s">
        <v>158</v>
      </c>
      <c r="B36" s="3" t="s">
        <v>159</v>
      </c>
      <c r="C36" s="8" t="s">
        <v>87</v>
      </c>
      <c r="D36" s="3" t="s">
        <v>154</v>
      </c>
      <c r="E36" s="3" t="s">
        <v>155</v>
      </c>
    </row>
    <row r="37" spans="1:5">
      <c r="A37" s="3" t="s">
        <v>160</v>
      </c>
      <c r="B37" s="3" t="s">
        <v>161</v>
      </c>
      <c r="C37" s="8" t="s">
        <v>87</v>
      </c>
      <c r="D37" s="3" t="s">
        <v>154</v>
      </c>
      <c r="E37" s="3" t="s">
        <v>155</v>
      </c>
    </row>
    <row r="38" spans="1:5">
      <c r="A38" s="3" t="s">
        <v>162</v>
      </c>
      <c r="B38" s="3" t="s">
        <v>163</v>
      </c>
      <c r="C38" s="8" t="s">
        <v>87</v>
      </c>
      <c r="D38" s="3" t="s">
        <v>154</v>
      </c>
      <c r="E38" s="3" t="s">
        <v>155</v>
      </c>
    </row>
    <row r="39" spans="1:5">
      <c r="A39" s="3" t="s">
        <v>164</v>
      </c>
      <c r="B39" s="3" t="s">
        <v>165</v>
      </c>
      <c r="C39" s="8" t="s">
        <v>87</v>
      </c>
      <c r="D39" s="3" t="s">
        <v>154</v>
      </c>
      <c r="E39" s="3" t="s">
        <v>155</v>
      </c>
    </row>
    <row r="40" spans="1:5">
      <c r="A40" s="3" t="s">
        <v>166</v>
      </c>
      <c r="B40" s="3" t="s">
        <v>167</v>
      </c>
      <c r="C40" s="8" t="s">
        <v>87</v>
      </c>
      <c r="D40" s="3" t="s">
        <v>168</v>
      </c>
      <c r="E40" s="3" t="s">
        <v>169</v>
      </c>
    </row>
    <row r="41" spans="1:5">
      <c r="A41" s="3" t="s">
        <v>170</v>
      </c>
      <c r="B41" s="3" t="s">
        <v>171</v>
      </c>
      <c r="C41" s="8" t="s">
        <v>87</v>
      </c>
      <c r="D41" s="3" t="s">
        <v>168</v>
      </c>
      <c r="E41" s="3" t="s">
        <v>169</v>
      </c>
    </row>
    <row r="42" spans="1:5">
      <c r="A42" s="3" t="s">
        <v>172</v>
      </c>
      <c r="B42" s="3" t="s">
        <v>173</v>
      </c>
      <c r="C42" s="8" t="s">
        <v>87</v>
      </c>
      <c r="D42" s="3" t="s">
        <v>168</v>
      </c>
      <c r="E42" s="3" t="s">
        <v>169</v>
      </c>
    </row>
    <row r="43" spans="1:5">
      <c r="A43" s="3" t="s">
        <v>174</v>
      </c>
      <c r="B43" s="3" t="s">
        <v>175</v>
      </c>
      <c r="C43" s="8" t="s">
        <v>87</v>
      </c>
      <c r="D43" s="3" t="s">
        <v>168</v>
      </c>
      <c r="E43" s="3" t="s">
        <v>169</v>
      </c>
    </row>
    <row r="44" spans="1:5">
      <c r="A44" s="3" t="s">
        <v>176</v>
      </c>
      <c r="B44" s="3" t="s">
        <v>177</v>
      </c>
      <c r="C44" s="8" t="s">
        <v>87</v>
      </c>
      <c r="D44" s="3" t="s">
        <v>168</v>
      </c>
      <c r="E44" s="3" t="s">
        <v>169</v>
      </c>
    </row>
    <row r="45" spans="1:5">
      <c r="A45" s="3" t="s">
        <v>178</v>
      </c>
      <c r="B45" s="3" t="s">
        <v>179</v>
      </c>
      <c r="C45" s="8" t="s">
        <v>87</v>
      </c>
      <c r="D45" s="3" t="s">
        <v>168</v>
      </c>
      <c r="E45" s="3" t="s">
        <v>169</v>
      </c>
    </row>
    <row r="46" spans="1:5">
      <c r="A46" s="3"/>
      <c r="B46" s="3"/>
      <c r="C46" s="8"/>
      <c r="D46" s="3"/>
      <c r="E46" s="3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zoomScaleNormal="100" workbookViewId="0">
      <selection activeCell="M23" sqref="M23"/>
    </sheetView>
  </sheetViews>
  <sheetFormatPr defaultColWidth="8.7109375" defaultRowHeight="15"/>
  <cols>
    <col min="1" max="1" width="16.85546875" customWidth="1"/>
    <col min="2" max="2" width="10.42578125" customWidth="1"/>
    <col min="3" max="3" width="13.5703125" customWidth="1"/>
    <col min="4" max="4" width="11.7109375" customWidth="1"/>
    <col min="5" max="5" width="13.5703125" customWidth="1"/>
    <col min="6" max="6" width="11.7109375" customWidth="1"/>
    <col min="7" max="7" width="13.5703125" customWidth="1"/>
    <col min="8" max="8" width="11.7109375" customWidth="1"/>
    <col min="9" max="9" width="13.42578125" customWidth="1"/>
    <col min="10" max="10" width="15.5703125" customWidth="1"/>
    <col min="11" max="11" width="13.5703125" bestFit="1" customWidth="1"/>
    <col min="12" max="12" width="21" customWidth="1"/>
    <col min="13" max="13" width="13.5703125" bestFit="1" customWidth="1"/>
    <col min="14" max="14" width="13.7109375" customWidth="1"/>
  </cols>
  <sheetData>
    <row r="1" spans="1:14">
      <c r="A1" s="49" t="s">
        <v>180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1"/>
    </row>
    <row r="2" spans="1:14">
      <c r="A2" s="48" t="s">
        <v>181</v>
      </c>
      <c r="B2" s="48"/>
      <c r="C2" s="48" t="s">
        <v>182</v>
      </c>
      <c r="D2" s="48"/>
      <c r="E2" s="48" t="s">
        <v>183</v>
      </c>
      <c r="F2" s="48"/>
      <c r="G2" s="48" t="s">
        <v>184</v>
      </c>
      <c r="H2" s="48"/>
      <c r="I2" s="48" t="s">
        <v>185</v>
      </c>
      <c r="J2" s="48"/>
      <c r="K2" s="48" t="s">
        <v>186</v>
      </c>
      <c r="L2" s="48"/>
      <c r="M2" s="54" t="s">
        <v>187</v>
      </c>
      <c r="N2" s="55"/>
    </row>
    <row r="3" spans="1:14" ht="30.75">
      <c r="A3" s="9" t="s">
        <v>188</v>
      </c>
      <c r="B3" s="10" t="s">
        <v>189</v>
      </c>
      <c r="C3" s="9" t="s">
        <v>5</v>
      </c>
      <c r="D3" s="11" t="s">
        <v>190</v>
      </c>
      <c r="E3" s="9" t="s">
        <v>5</v>
      </c>
      <c r="F3" s="11" t="s">
        <v>190</v>
      </c>
      <c r="G3" s="9" t="s">
        <v>5</v>
      </c>
      <c r="H3" s="11" t="s">
        <v>190</v>
      </c>
      <c r="I3" s="9" t="s">
        <v>5</v>
      </c>
      <c r="J3" s="11" t="s">
        <v>190</v>
      </c>
      <c r="K3" s="9" t="s">
        <v>5</v>
      </c>
      <c r="L3" s="38" t="s">
        <v>190</v>
      </c>
      <c r="M3" s="39" t="s">
        <v>5</v>
      </c>
      <c r="N3" s="40" t="s">
        <v>190</v>
      </c>
    </row>
    <row r="4" spans="1:14">
      <c r="A4" s="12" t="s">
        <v>191</v>
      </c>
      <c r="B4" s="13">
        <v>1200</v>
      </c>
      <c r="C4" s="12">
        <v>5</v>
      </c>
      <c r="D4" s="14">
        <f>C4*$B4</f>
        <v>6000</v>
      </c>
      <c r="E4" s="12">
        <v>3</v>
      </c>
      <c r="F4" s="14">
        <f>E4*$B4</f>
        <v>3600</v>
      </c>
      <c r="G4" s="12">
        <v>3</v>
      </c>
      <c r="H4" s="14">
        <f>G4*$B4</f>
        <v>3600</v>
      </c>
      <c r="I4" s="12">
        <v>3</v>
      </c>
      <c r="J4" s="14">
        <f>I4*$B4</f>
        <v>3600</v>
      </c>
      <c r="K4" s="12">
        <v>3</v>
      </c>
      <c r="L4" s="13">
        <f>K4*$B4</f>
        <v>3600</v>
      </c>
      <c r="M4" s="41">
        <v>3</v>
      </c>
      <c r="N4" s="42">
        <f>M4*$B4</f>
        <v>3600</v>
      </c>
    </row>
    <row r="5" spans="1:14">
      <c r="A5" s="15" t="s">
        <v>192</v>
      </c>
      <c r="B5" s="16">
        <v>1800</v>
      </c>
      <c r="C5" s="15">
        <v>6</v>
      </c>
      <c r="D5" s="15">
        <f>C5*$B5</f>
        <v>10800</v>
      </c>
      <c r="E5" s="15">
        <v>1</v>
      </c>
      <c r="F5" s="15">
        <f>E5*$B5</f>
        <v>1800</v>
      </c>
      <c r="G5" s="15">
        <v>1</v>
      </c>
      <c r="H5" s="15">
        <f>G5*$B5</f>
        <v>1800</v>
      </c>
      <c r="I5" s="15">
        <v>1</v>
      </c>
      <c r="J5" s="15">
        <f>I5*$B5</f>
        <v>1800</v>
      </c>
      <c r="K5" s="15">
        <v>1</v>
      </c>
      <c r="L5" s="21">
        <f>K5*$B5</f>
        <v>1800</v>
      </c>
      <c r="M5" s="43">
        <v>1</v>
      </c>
      <c r="N5" s="44">
        <f>M5*$B5</f>
        <v>1800</v>
      </c>
    </row>
    <row r="6" spans="1:14">
      <c r="A6" s="15" t="s">
        <v>193</v>
      </c>
      <c r="B6" s="16">
        <v>200</v>
      </c>
      <c r="C6" s="15">
        <v>25</v>
      </c>
      <c r="D6" s="15">
        <f>C6*$B6</f>
        <v>5000</v>
      </c>
      <c r="E6" s="15">
        <v>4</v>
      </c>
      <c r="F6" s="15">
        <f>E6*$B6</f>
        <v>800</v>
      </c>
      <c r="G6" s="15">
        <v>4</v>
      </c>
      <c r="H6" s="15">
        <f>G6*$B6</f>
        <v>800</v>
      </c>
      <c r="I6" s="15">
        <v>4</v>
      </c>
      <c r="J6" s="15">
        <f>I6*$B6</f>
        <v>800</v>
      </c>
      <c r="K6" s="15">
        <v>4</v>
      </c>
      <c r="L6" s="21">
        <f>K6*$B6</f>
        <v>800</v>
      </c>
      <c r="M6" s="43">
        <v>4</v>
      </c>
      <c r="N6" s="44">
        <f>M6*$B6</f>
        <v>800</v>
      </c>
    </row>
    <row r="7" spans="1:14">
      <c r="A7" s="15" t="s">
        <v>194</v>
      </c>
      <c r="B7" s="16">
        <v>800</v>
      </c>
      <c r="C7" s="15">
        <v>2</v>
      </c>
      <c r="D7" s="15">
        <f>C7*$B7</f>
        <v>1600</v>
      </c>
      <c r="E7" s="15">
        <v>2</v>
      </c>
      <c r="F7" s="15">
        <f>E7*$B7</f>
        <v>1600</v>
      </c>
      <c r="G7" s="15">
        <v>2</v>
      </c>
      <c r="H7" s="15">
        <f>G7*$B7</f>
        <v>1600</v>
      </c>
      <c r="I7" s="15">
        <v>2</v>
      </c>
      <c r="J7" s="15">
        <f>I7*$B7</f>
        <v>1600</v>
      </c>
      <c r="K7" s="15">
        <v>2</v>
      </c>
      <c r="L7" s="21">
        <f>K7*$B7</f>
        <v>1600</v>
      </c>
      <c r="M7" s="43">
        <v>2</v>
      </c>
      <c r="N7" s="44">
        <f>M7*$B7</f>
        <v>1600</v>
      </c>
    </row>
    <row r="8" spans="1:14">
      <c r="A8" s="12" t="s">
        <v>195</v>
      </c>
      <c r="B8" s="13">
        <v>1600</v>
      </c>
      <c r="C8" s="12">
        <v>25</v>
      </c>
      <c r="D8" s="14">
        <f>C8*$B8</f>
        <v>40000</v>
      </c>
      <c r="E8" s="12">
        <v>3</v>
      </c>
      <c r="F8" s="14">
        <f>E8*$B8</f>
        <v>4800</v>
      </c>
      <c r="G8" s="12">
        <v>3</v>
      </c>
      <c r="H8" s="14">
        <f>G8*$B8</f>
        <v>4800</v>
      </c>
      <c r="I8" s="12">
        <v>3</v>
      </c>
      <c r="J8" s="14">
        <f>I8*$B8</f>
        <v>4800</v>
      </c>
      <c r="K8" s="12">
        <v>3</v>
      </c>
      <c r="L8" s="13">
        <f>K8*$B8</f>
        <v>4800</v>
      </c>
      <c r="M8" s="41">
        <v>3</v>
      </c>
      <c r="N8" s="42">
        <f>M8*$B8</f>
        <v>4800</v>
      </c>
    </row>
    <row r="9" spans="1:14">
      <c r="A9" s="12" t="s">
        <v>196</v>
      </c>
      <c r="B9" s="13">
        <v>400</v>
      </c>
      <c r="C9" s="12">
        <v>25</v>
      </c>
      <c r="D9" s="14">
        <f>C9*$B9</f>
        <v>10000</v>
      </c>
      <c r="E9" s="12">
        <v>3</v>
      </c>
      <c r="F9" s="14">
        <f>E9*$B9</f>
        <v>1200</v>
      </c>
      <c r="G9" s="12">
        <v>3</v>
      </c>
      <c r="H9" s="14">
        <f>G9*$B9</f>
        <v>1200</v>
      </c>
      <c r="I9" s="12">
        <v>3</v>
      </c>
      <c r="J9" s="14">
        <f>I9*$B9</f>
        <v>1200</v>
      </c>
      <c r="K9" s="12">
        <v>3</v>
      </c>
      <c r="L9" s="13">
        <f>K9*$B9</f>
        <v>1200</v>
      </c>
      <c r="M9" s="41">
        <v>3</v>
      </c>
      <c r="N9" s="42">
        <f>M9*$B9</f>
        <v>1200</v>
      </c>
    </row>
    <row r="10" spans="1:14">
      <c r="A10" s="18"/>
      <c r="B10" s="19"/>
      <c r="C10" s="15"/>
      <c r="D10" s="17"/>
      <c r="E10" s="15"/>
      <c r="F10" s="17"/>
      <c r="G10" s="15"/>
      <c r="H10" s="17"/>
      <c r="I10" s="15"/>
      <c r="J10" s="17"/>
      <c r="K10" s="15"/>
      <c r="L10" s="16"/>
      <c r="M10" s="43"/>
      <c r="N10" s="45"/>
    </row>
    <row r="11" spans="1:14">
      <c r="A11" s="20"/>
      <c r="B11" s="20"/>
      <c r="C11" s="15"/>
      <c r="D11" s="17"/>
      <c r="E11" s="15"/>
      <c r="F11" s="17"/>
      <c r="G11" s="15"/>
      <c r="H11" s="17"/>
      <c r="I11" s="15"/>
      <c r="J11" s="17"/>
      <c r="K11" s="15"/>
      <c r="L11" s="16"/>
      <c r="M11" s="43"/>
      <c r="N11" s="45"/>
    </row>
    <row r="12" spans="1:14">
      <c r="A12" s="20"/>
      <c r="B12" s="20"/>
      <c r="C12" s="15"/>
      <c r="D12" s="17"/>
      <c r="E12" s="15" t="s">
        <v>197</v>
      </c>
      <c r="F12" s="17">
        <f>SUM(F4:F9)</f>
        <v>13800</v>
      </c>
      <c r="G12" s="15" t="s">
        <v>197</v>
      </c>
      <c r="H12" s="17">
        <f>SUM(H4:H9)</f>
        <v>13800</v>
      </c>
      <c r="I12" s="15" t="s">
        <v>197</v>
      </c>
      <c r="J12" s="17">
        <f>SUM(J4:J9)</f>
        <v>13800</v>
      </c>
      <c r="K12" s="15" t="s">
        <v>197</v>
      </c>
      <c r="L12" s="16">
        <f>SUM(L4:L9)</f>
        <v>13800</v>
      </c>
      <c r="M12" s="43" t="s">
        <v>197</v>
      </c>
      <c r="N12" s="45">
        <f>SUM(N4:N9)</f>
        <v>13800</v>
      </c>
    </row>
    <row r="13" spans="1:14">
      <c r="A13" s="20"/>
      <c r="B13" s="20"/>
      <c r="C13" s="60"/>
      <c r="D13" s="60"/>
      <c r="E13" s="15"/>
      <c r="F13" s="17"/>
      <c r="G13" s="15"/>
      <c r="H13" s="17"/>
      <c r="I13" s="15"/>
      <c r="J13" s="17"/>
      <c r="K13" s="15"/>
      <c r="L13" s="16"/>
      <c r="M13" s="43"/>
      <c r="N13" s="45"/>
    </row>
    <row r="14" spans="1:14">
      <c r="A14" s="20"/>
      <c r="B14" s="20"/>
      <c r="C14" s="15" t="s">
        <v>198</v>
      </c>
      <c r="D14" s="17">
        <f>D4+D8+D9</f>
        <v>56000</v>
      </c>
      <c r="E14" s="21" t="s">
        <v>198</v>
      </c>
      <c r="F14" s="22">
        <f>F4+F8+F9</f>
        <v>9600</v>
      </c>
      <c r="G14" s="23" t="s">
        <v>198</v>
      </c>
      <c r="H14" s="17">
        <f>H4+H8+H9</f>
        <v>9600</v>
      </c>
      <c r="I14" s="15" t="s">
        <v>198</v>
      </c>
      <c r="J14" s="17">
        <f>J4+J8+J9</f>
        <v>9600</v>
      </c>
      <c r="K14" s="15" t="s">
        <v>198</v>
      </c>
      <c r="L14" s="16">
        <f>L4+L8+L9</f>
        <v>9600</v>
      </c>
      <c r="M14" s="43" t="s">
        <v>198</v>
      </c>
      <c r="N14" s="45">
        <f>N4+N8+N9</f>
        <v>9600</v>
      </c>
    </row>
    <row r="15" spans="1:14">
      <c r="A15" s="20"/>
      <c r="B15" s="20"/>
      <c r="C15" s="52" t="s">
        <v>199</v>
      </c>
      <c r="D15" s="52"/>
      <c r="E15" s="52" t="s">
        <v>200</v>
      </c>
      <c r="F15" s="52"/>
      <c r="G15" s="52" t="s">
        <v>201</v>
      </c>
      <c r="H15" s="52"/>
      <c r="I15" s="52" t="s">
        <v>202</v>
      </c>
      <c r="J15" s="52"/>
      <c r="K15" s="52" t="s">
        <v>202</v>
      </c>
      <c r="L15" s="52"/>
      <c r="M15" s="56" t="s">
        <v>202</v>
      </c>
      <c r="N15" s="57"/>
    </row>
    <row r="16" spans="1:14">
      <c r="A16" s="24" t="s">
        <v>203</v>
      </c>
      <c r="B16" s="25">
        <v>1</v>
      </c>
      <c r="C16" s="53">
        <f>D14+F14+H14+J14</f>
        <v>84800</v>
      </c>
      <c r="D16" s="53"/>
      <c r="E16" s="53">
        <f>F12</f>
        <v>13800</v>
      </c>
      <c r="F16" s="53"/>
      <c r="G16" s="53">
        <f>H12</f>
        <v>13800</v>
      </c>
      <c r="H16" s="53"/>
      <c r="I16" s="53">
        <f>J12</f>
        <v>13800</v>
      </c>
      <c r="J16" s="53"/>
      <c r="K16" s="53">
        <f>L12</f>
        <v>13800</v>
      </c>
      <c r="L16" s="53"/>
      <c r="M16" s="58">
        <f>N12</f>
        <v>13800</v>
      </c>
      <c r="N16" s="59"/>
    </row>
  </sheetData>
  <mergeCells count="21">
    <mergeCell ref="A1:N1"/>
    <mergeCell ref="K2:L2"/>
    <mergeCell ref="K15:L15"/>
    <mergeCell ref="K16:L16"/>
    <mergeCell ref="M2:N2"/>
    <mergeCell ref="M15:N15"/>
    <mergeCell ref="M16:N16"/>
    <mergeCell ref="C16:D16"/>
    <mergeCell ref="E16:F16"/>
    <mergeCell ref="G16:H16"/>
    <mergeCell ref="I16:J16"/>
    <mergeCell ref="C13:D13"/>
    <mergeCell ref="C15:D15"/>
    <mergeCell ref="E15:F15"/>
    <mergeCell ref="G15:H15"/>
    <mergeCell ref="I15:J15"/>
    <mergeCell ref="A2:B2"/>
    <mergeCell ref="C2:D2"/>
    <mergeCell ref="E2:F2"/>
    <mergeCell ref="G2:H2"/>
    <mergeCell ref="I2:J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Andreia</dc:creator>
  <cp:keywords/>
  <dc:description/>
  <cp:lastModifiedBy>Usuário Convidado</cp:lastModifiedBy>
  <cp:revision>6</cp:revision>
  <dcterms:created xsi:type="dcterms:W3CDTF">2023-03-10T15:59:41Z</dcterms:created>
  <dcterms:modified xsi:type="dcterms:W3CDTF">2026-03-28T18:12:14Z</dcterms:modified>
  <cp:category/>
  <cp:contentStatus/>
</cp:coreProperties>
</file>